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cio\Documents\Quantum\"/>
    </mc:Choice>
  </mc:AlternateContent>
  <xr:revisionPtr revIDLastSave="0" documentId="8_{39DDCD32-0F85-4569-A1D7-33F395236409}" xr6:coauthVersionLast="47" xr6:coauthVersionMax="47" xr10:uidLastSave="{00000000-0000-0000-0000-000000000000}"/>
  <bookViews>
    <workbookView xWindow="7440" yWindow="1470" windowWidth="29715" windowHeight="19365" xr2:uid="{68F93F82-3375-4DD2-970E-B21D41999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6" i="1"/>
  <c r="C35" i="1"/>
  <c r="C34" i="1"/>
  <c r="F5" i="1"/>
  <c r="F3" i="1"/>
  <c r="F29" i="1"/>
  <c r="F28" i="1"/>
  <c r="F27" i="1"/>
  <c r="F25" i="1"/>
  <c r="F24" i="1"/>
  <c r="F23" i="1"/>
  <c r="F22" i="1"/>
  <c r="F21" i="1"/>
  <c r="F19" i="1"/>
  <c r="F11" i="1"/>
  <c r="F10" i="1"/>
  <c r="F9" i="1"/>
  <c r="F8" i="1"/>
  <c r="F7" i="1"/>
  <c r="F6" i="1"/>
  <c r="F2" i="1"/>
  <c r="D10" i="1"/>
  <c r="D11" i="1"/>
  <c r="D12" i="1"/>
  <c r="F12" i="1" s="1"/>
  <c r="D18" i="1"/>
  <c r="F18" i="1" s="1"/>
  <c r="D17" i="1"/>
  <c r="F17" i="1" s="1"/>
  <c r="D15" i="1"/>
  <c r="F15" i="1" s="1"/>
  <c r="D13" i="1"/>
  <c r="F13" i="1" s="1"/>
  <c r="D16" i="1"/>
  <c r="F16" i="1" s="1"/>
  <c r="D14" i="1"/>
  <c r="F14" i="1" s="1"/>
</calcChain>
</file>

<file path=xl/sharedStrings.xml><?xml version="1.0" encoding="utf-8"?>
<sst xmlns="http://schemas.openxmlformats.org/spreadsheetml/2006/main" count="102" uniqueCount="74">
  <si>
    <t>Equipment</t>
  </si>
  <si>
    <t>Vendor</t>
  </si>
  <si>
    <t>COSMOS-12 Vacuum Trainer</t>
  </si>
  <si>
    <t>Edwards</t>
  </si>
  <si>
    <t>Notes</t>
  </si>
  <si>
    <t>ThorLabs</t>
  </si>
  <si>
    <t>EDU-QOP1 (Quantum Optics)</t>
  </si>
  <si>
    <t>Nexus Optical Table</t>
  </si>
  <si>
    <t>Nexus Optical Table Legs</t>
  </si>
  <si>
    <t>Optical Table Shelves</t>
  </si>
  <si>
    <t>EDU-QOPA1 (Entanglement Extension)</t>
  </si>
  <si>
    <t>https://www.thorlabs.com/thorproduct.cfm?partnumber=EDU-QOP1</t>
  </si>
  <si>
    <t>https://www.thorlabs.com/thorproduct.cfm?partnumber=EDU-QOPA1</t>
  </si>
  <si>
    <t>EDU-QCRY1 (Quantum Crytography)</t>
  </si>
  <si>
    <t>nEXT85D/nXDS10i (Pump Station)</t>
  </si>
  <si>
    <t>WRG-S-DN40CF S/S Wide Range Gauge</t>
  </si>
  <si>
    <t>IG40 BA DN40CF</t>
  </si>
  <si>
    <t>PGC202 Pirani / Ion Contr</t>
  </si>
  <si>
    <t>3SMT Itan ION Pump</t>
  </si>
  <si>
    <t>3M Active Guage Cable</t>
  </si>
  <si>
    <t>IG40 NA/EX cable</t>
  </si>
  <si>
    <t>Cable, V, SPC-SC3-5k</t>
  </si>
  <si>
    <t>Digitel SPC Ion Pump Controller</t>
  </si>
  <si>
    <t>Gamma</t>
  </si>
  <si>
    <t>VAT</t>
  </si>
  <si>
    <t>Quote from VacuumOne (Nate)</t>
  </si>
  <si>
    <t>Category</t>
  </si>
  <si>
    <t>https://www.kimballphysics.com/product/mcf450-sphoct-e2a8/</t>
  </si>
  <si>
    <t>4.50″ Spherical Octagon (tapped holes) – Vacuum Chamber</t>
  </si>
  <si>
    <t>Kimball Physics</t>
  </si>
  <si>
    <t>4.50″ Mounting Flange – Viewport</t>
  </si>
  <si>
    <t xml:space="preserve">Quantity </t>
  </si>
  <si>
    <t>Total</t>
  </si>
  <si>
    <t>Unit Price</t>
  </si>
  <si>
    <t>https://www.lesker.com/feedthroughs/power-feedthroughs/part/eft0243032</t>
  </si>
  <si>
    <t>https://www.kimballphysics.com/product/mcf450-mtgflg-e1vp/</t>
  </si>
  <si>
    <t>Kurt Lesker</t>
  </si>
  <si>
    <t>https://www.lesker.com/viewports/viewports-cf-flanged-kodial-glass/part/vpzl-133</t>
  </si>
  <si>
    <t>1.33" Electrical Feedthrough</t>
  </si>
  <si>
    <t>1.33" Viewports</t>
  </si>
  <si>
    <t>Quantum MOT Longer Lead
(One Per 3 or 4 students)</t>
  </si>
  <si>
    <t>Vacuum Trainer 
(One per 4 students)</t>
  </si>
  <si>
    <t>Optics Kits
(One Per 3 Students)</t>
  </si>
  <si>
    <t>01.0 - Mini UHV Gate Valve</t>
  </si>
  <si>
    <t>Quote from VacuumOne (Nate) (https://www.vatgroup.com/series/mini-uhv-gate-valve)</t>
  </si>
  <si>
    <t>EDU-MINT2 (Interferometer)</t>
  </si>
  <si>
    <t>https://www.thorlabs.com/thorproduct.cfm?partnumber=EDU-MINT2</t>
  </si>
  <si>
    <t>https://www.thorlabs.com/thorproduct.cfm?partnumber=EDU-QCRY1</t>
  </si>
  <si>
    <t>EDU-OT3 (Optical Tweezers)</t>
  </si>
  <si>
    <t>https://www.thorlabs.com/thorproduct.cfm?partnumber=EDU-OT3</t>
  </si>
  <si>
    <t>https://www.thorlabs.com/thorproduct.cfm?partnumber=T48J</t>
  </si>
  <si>
    <t>https://www.thorlabs.com/thorproduct.cfm?partnumber=PTP702</t>
  </si>
  <si>
    <t>https://www.thorlabs.com/thorproduct.cfm?partnumber=PTA281</t>
  </si>
  <si>
    <t>ELD500-Wet (Leak Checker)</t>
  </si>
  <si>
    <t>Vescent D2 Laser System</t>
  </si>
  <si>
    <t>Vescent</t>
  </si>
  <si>
    <t>Optical Table
(One Per 6 Students)</t>
  </si>
  <si>
    <t>Quote from Vescent - one Laser can power two (2) MOT systems</t>
  </si>
  <si>
    <t>Note 1: not yet included:Individual Optics, EOMs, AOM, Signal Generators, Amplifiers, UHV Fittings, Flex Hoses, Flanges, Power Meters, Power Suppies, Hand Tools, Safety Gear, Oscilloscopes, Computers, Storage</t>
  </si>
  <si>
    <t>EXAMPLE of CNM QuLL</t>
  </si>
  <si>
    <t>Three Vacuum Trainers</t>
  </si>
  <si>
    <t>Four MOTs</t>
  </si>
  <si>
    <t>Four of each Optics Kit</t>
  </si>
  <si>
    <t>Two Optical Tables</t>
  </si>
  <si>
    <t>TOTAL does not include anything from Note 1.</t>
  </si>
  <si>
    <t>Total*</t>
  </si>
  <si>
    <t>Note 2: likely extra cost per MOT is around $25k, though some components can be used across 2 or 4 MOTs. For instance, for 4 MOTs the need is 3 Signal Generators (1 to 4 MOTs), 2 EOMs (per each 2 MOTs), 6 AOMs (3 per 2 MOTS), 6 RF amplifiers, 11 Power Supplies.</t>
  </si>
  <si>
    <t>GREEN</t>
  </si>
  <si>
    <t>YELLOW</t>
  </si>
  <si>
    <t>RED</t>
  </si>
  <si>
    <t>Color Coding</t>
  </si>
  <si>
    <t>Definitely need, but total number might reduce</t>
  </si>
  <si>
    <t>Definitely need, correct quantity listed</t>
  </si>
  <si>
    <t>Hold off buying, we might eliminate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</si>
</sst>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6" fontId="0" fillId="0" borderId="0" xfId="1" applyNumberFormat="1" applyFont="1"/>
    <xf numFmtId="0" fontId="0" fillId="0" borderId="0" xfId="0" applyAlignment="1">
      <alignment horizontal="center" vertical="center" wrapText="1"/>
    </xf>
    <xf numFmtId="0" fontId="3" fillId="0" borderId="0" xfId="2"/>
    <xf numFmtId="1" fontId="0" fillId="0" borderId="0" xfId="1" applyNumberFormat="1" applyFont="1" applyAlignment="1">
      <alignment horizontal="center"/>
    </xf>
    <xf numFmtId="0" fontId="2" fillId="0" borderId="0" xfId="0" applyFont="1"/>
    <xf numFmtId="0" fontId="4" fillId="0" borderId="0" xfId="0" applyFon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44" fontId="0" fillId="2" borderId="0" xfId="1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4" fontId="0" fillId="4" borderId="0" xfId="1" applyFont="1" applyFill="1"/>
    <xf numFmtId="44" fontId="0" fillId="3" borderId="0" xfId="1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orlabs.com/thorproduct.cfm?partnumber=T48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D9CF-BEF4-42EE-AB64-9744F15CEB0A}">
  <dimension ref="A1:G39"/>
  <sheetViews>
    <sheetView tabSelected="1" topLeftCell="A8" zoomScale="130" zoomScaleNormal="130" workbookViewId="0">
      <selection activeCell="F20" sqref="F20"/>
    </sheetView>
  </sheetViews>
  <sheetFormatPr defaultColWidth="8.85546875" defaultRowHeight="15" x14ac:dyDescent="0.25"/>
  <cols>
    <col min="1" max="1" width="24.7109375" customWidth="1"/>
    <col min="2" max="2" width="35.42578125" customWidth="1"/>
    <col min="3" max="3" width="15" customWidth="1"/>
    <col min="4" max="4" width="13.28515625" style="1" bestFit="1" customWidth="1"/>
    <col min="5" max="5" width="13.28515625" style="5" customWidth="1"/>
    <col min="6" max="6" width="13.28515625" style="1" customWidth="1"/>
    <col min="7" max="7" width="77.42578125" customWidth="1"/>
  </cols>
  <sheetData>
    <row r="1" spans="1:7" x14ac:dyDescent="0.25">
      <c r="A1" t="s">
        <v>26</v>
      </c>
      <c r="B1" t="s">
        <v>0</v>
      </c>
      <c r="C1" t="s">
        <v>1</v>
      </c>
      <c r="D1" s="1" t="s">
        <v>33</v>
      </c>
      <c r="E1" s="5" t="s">
        <v>31</v>
      </c>
      <c r="F1" s="1" t="s">
        <v>32</v>
      </c>
      <c r="G1" t="s">
        <v>4</v>
      </c>
    </row>
    <row r="2" spans="1:7" ht="30" customHeight="1" x14ac:dyDescent="0.25">
      <c r="A2" s="9" t="s">
        <v>41</v>
      </c>
      <c r="B2" s="11" t="s">
        <v>2</v>
      </c>
      <c r="C2" t="s">
        <v>3</v>
      </c>
      <c r="D2" s="1">
        <v>95300</v>
      </c>
      <c r="E2" s="5">
        <v>1</v>
      </c>
      <c r="F2" s="1">
        <f>D2*E2</f>
        <v>95300</v>
      </c>
      <c r="G2" t="s">
        <v>25</v>
      </c>
    </row>
    <row r="3" spans="1:7" x14ac:dyDescent="0.25">
      <c r="A3" s="9"/>
      <c r="B3" s="11" t="s">
        <v>53</v>
      </c>
      <c r="C3" t="s">
        <v>3</v>
      </c>
      <c r="D3" s="2">
        <v>27000</v>
      </c>
      <c r="E3" s="5">
        <v>1</v>
      </c>
      <c r="F3" s="1">
        <f>D3*E3</f>
        <v>27000</v>
      </c>
      <c r="G3" t="s">
        <v>25</v>
      </c>
    </row>
    <row r="5" spans="1:7" ht="16.5" customHeight="1" x14ac:dyDescent="0.25">
      <c r="A5" s="9" t="s">
        <v>40</v>
      </c>
      <c r="B5" s="11" t="s">
        <v>54</v>
      </c>
      <c r="C5" t="s">
        <v>55</v>
      </c>
      <c r="D5" s="2">
        <v>36000</v>
      </c>
      <c r="E5" s="5">
        <v>1</v>
      </c>
      <c r="F5" s="1">
        <f t="shared" ref="F5:F19" si="0">D5*E5</f>
        <v>36000</v>
      </c>
      <c r="G5" t="s">
        <v>57</v>
      </c>
    </row>
    <row r="6" spans="1:7" ht="15" customHeight="1" x14ac:dyDescent="0.25">
      <c r="A6" s="9"/>
      <c r="B6" s="11" t="s">
        <v>28</v>
      </c>
      <c r="C6" t="s">
        <v>29</v>
      </c>
      <c r="D6" s="1">
        <v>1901</v>
      </c>
      <c r="E6" s="5">
        <v>1</v>
      </c>
      <c r="F6" s="1">
        <f t="shared" si="0"/>
        <v>1901</v>
      </c>
      <c r="G6" t="s">
        <v>27</v>
      </c>
    </row>
    <row r="7" spans="1:7" x14ac:dyDescent="0.25">
      <c r="A7" s="9"/>
      <c r="B7" s="11" t="s">
        <v>30</v>
      </c>
      <c r="C7" t="s">
        <v>29</v>
      </c>
      <c r="D7" s="1">
        <v>657</v>
      </c>
      <c r="E7" s="5">
        <v>2</v>
      </c>
      <c r="F7" s="1">
        <f t="shared" si="0"/>
        <v>1314</v>
      </c>
      <c r="G7" t="s">
        <v>35</v>
      </c>
    </row>
    <row r="8" spans="1:7" x14ac:dyDescent="0.25">
      <c r="A8" s="9"/>
      <c r="B8" s="11" t="s">
        <v>38</v>
      </c>
      <c r="C8" t="s">
        <v>36</v>
      </c>
      <c r="D8" s="1">
        <v>167.5</v>
      </c>
      <c r="E8" s="5">
        <v>1</v>
      </c>
      <c r="F8" s="1">
        <f t="shared" si="0"/>
        <v>167.5</v>
      </c>
      <c r="G8" t="s">
        <v>34</v>
      </c>
    </row>
    <row r="9" spans="1:7" x14ac:dyDescent="0.25">
      <c r="A9" s="9"/>
      <c r="B9" s="11" t="s">
        <v>39</v>
      </c>
      <c r="C9" t="s">
        <v>36</v>
      </c>
      <c r="D9" s="1">
        <v>155</v>
      </c>
      <c r="E9" s="5">
        <v>6</v>
      </c>
      <c r="F9" s="1">
        <f t="shared" si="0"/>
        <v>930</v>
      </c>
      <c r="G9" t="s">
        <v>37</v>
      </c>
    </row>
    <row r="10" spans="1:7" x14ac:dyDescent="0.25">
      <c r="A10" s="9"/>
      <c r="B10" s="12" t="s">
        <v>14</v>
      </c>
      <c r="C10" t="s">
        <v>3</v>
      </c>
      <c r="D10" s="1">
        <f>34393/2</f>
        <v>17196.5</v>
      </c>
      <c r="E10" s="5">
        <v>1</v>
      </c>
      <c r="F10" s="1">
        <f t="shared" si="0"/>
        <v>17196.5</v>
      </c>
      <c r="G10" t="s">
        <v>25</v>
      </c>
    </row>
    <row r="11" spans="1:7" x14ac:dyDescent="0.25">
      <c r="A11" s="9"/>
      <c r="B11" s="12" t="s">
        <v>15</v>
      </c>
      <c r="C11" t="s">
        <v>3</v>
      </c>
      <c r="D11" s="1">
        <f>3085.06/2</f>
        <v>1542.53</v>
      </c>
      <c r="E11" s="5">
        <v>1</v>
      </c>
      <c r="F11" s="1">
        <f t="shared" si="0"/>
        <v>1542.53</v>
      </c>
      <c r="G11" t="s">
        <v>25</v>
      </c>
    </row>
    <row r="12" spans="1:7" x14ac:dyDescent="0.25">
      <c r="A12" s="9"/>
      <c r="B12" s="13" t="s">
        <v>17</v>
      </c>
      <c r="C12" t="s">
        <v>3</v>
      </c>
      <c r="D12" s="1">
        <f>7557.06/2</f>
        <v>3778.53</v>
      </c>
      <c r="E12" s="5">
        <v>1</v>
      </c>
      <c r="F12" s="1">
        <f t="shared" si="0"/>
        <v>3778.53</v>
      </c>
      <c r="G12" t="s">
        <v>25</v>
      </c>
    </row>
    <row r="13" spans="1:7" x14ac:dyDescent="0.25">
      <c r="A13" s="9"/>
      <c r="B13" s="12" t="s">
        <v>19</v>
      </c>
      <c r="C13" t="s">
        <v>3</v>
      </c>
      <c r="D13" s="1">
        <f>147.62/2</f>
        <v>73.81</v>
      </c>
      <c r="E13" s="5">
        <v>1</v>
      </c>
      <c r="F13" s="1">
        <f t="shared" si="0"/>
        <v>73.81</v>
      </c>
      <c r="G13" t="s">
        <v>25</v>
      </c>
    </row>
    <row r="14" spans="1:7" x14ac:dyDescent="0.25">
      <c r="A14" s="9"/>
      <c r="B14" s="13" t="s">
        <v>16</v>
      </c>
      <c r="C14" t="s">
        <v>3</v>
      </c>
      <c r="D14" s="1">
        <f>4845.46/2</f>
        <v>2422.73</v>
      </c>
      <c r="E14" s="5">
        <v>1</v>
      </c>
      <c r="F14" s="1">
        <f t="shared" si="0"/>
        <v>2422.73</v>
      </c>
      <c r="G14" t="s">
        <v>25</v>
      </c>
    </row>
    <row r="15" spans="1:7" x14ac:dyDescent="0.25">
      <c r="A15" s="9"/>
      <c r="B15" s="13" t="s">
        <v>20</v>
      </c>
      <c r="C15" t="s">
        <v>3</v>
      </c>
      <c r="D15" s="1">
        <f>3128.16/2</f>
        <v>1564.08</v>
      </c>
      <c r="E15" s="5">
        <v>1</v>
      </c>
      <c r="F15" s="1">
        <f t="shared" si="0"/>
        <v>1564.08</v>
      </c>
      <c r="G15" t="s">
        <v>25</v>
      </c>
    </row>
    <row r="16" spans="1:7" x14ac:dyDescent="0.25">
      <c r="A16" s="9"/>
      <c r="B16" s="11" t="s">
        <v>18</v>
      </c>
      <c r="C16" t="s">
        <v>23</v>
      </c>
      <c r="D16" s="1">
        <f>1932.3/2</f>
        <v>966.15</v>
      </c>
      <c r="E16" s="5">
        <v>1</v>
      </c>
      <c r="F16" s="1">
        <f t="shared" si="0"/>
        <v>966.15</v>
      </c>
      <c r="G16" t="s">
        <v>25</v>
      </c>
    </row>
    <row r="17" spans="1:7" x14ac:dyDescent="0.25">
      <c r="A17" s="9"/>
      <c r="B17" s="11" t="s">
        <v>21</v>
      </c>
      <c r="C17" t="s">
        <v>23</v>
      </c>
      <c r="D17" s="1">
        <f>952.2/2</f>
        <v>476.1</v>
      </c>
      <c r="E17" s="5">
        <v>1</v>
      </c>
      <c r="F17" s="1">
        <f t="shared" si="0"/>
        <v>476.1</v>
      </c>
      <c r="G17" t="s">
        <v>25</v>
      </c>
    </row>
    <row r="18" spans="1:7" x14ac:dyDescent="0.25">
      <c r="A18" s="9"/>
      <c r="B18" s="11" t="s">
        <v>22</v>
      </c>
      <c r="C18" t="s">
        <v>23</v>
      </c>
      <c r="D18" s="1">
        <f>3798.1/2</f>
        <v>1899.05</v>
      </c>
      <c r="E18" s="5">
        <v>1</v>
      </c>
      <c r="F18" s="1">
        <f t="shared" si="0"/>
        <v>1899.05</v>
      </c>
      <c r="G18" t="s">
        <v>25</v>
      </c>
    </row>
    <row r="19" spans="1:7" x14ac:dyDescent="0.25">
      <c r="A19" s="9"/>
      <c r="B19" s="11" t="s">
        <v>43</v>
      </c>
      <c r="C19" t="s">
        <v>24</v>
      </c>
      <c r="D19" s="1">
        <v>1588.57</v>
      </c>
      <c r="E19" s="5">
        <v>1</v>
      </c>
      <c r="F19" s="1">
        <f t="shared" si="0"/>
        <v>1588.57</v>
      </c>
      <c r="G19" t="s">
        <v>44</v>
      </c>
    </row>
    <row r="21" spans="1:7" ht="15" customHeight="1" x14ac:dyDescent="0.25">
      <c r="A21" s="9" t="s">
        <v>42</v>
      </c>
      <c r="B21" s="11" t="s">
        <v>6</v>
      </c>
      <c r="C21" t="s">
        <v>5</v>
      </c>
      <c r="D21" s="1">
        <v>35744.68</v>
      </c>
      <c r="E21" s="5">
        <v>1</v>
      </c>
      <c r="F21" s="1">
        <f t="shared" ref="F21:F25" si="1">D21*E21</f>
        <v>35744.68</v>
      </c>
      <c r="G21" t="s">
        <v>11</v>
      </c>
    </row>
    <row r="22" spans="1:7" x14ac:dyDescent="0.25">
      <c r="A22" s="9"/>
      <c r="B22" s="12" t="s">
        <v>10</v>
      </c>
      <c r="C22" t="s">
        <v>5</v>
      </c>
      <c r="D22" s="1">
        <v>4800.18</v>
      </c>
      <c r="E22" s="5">
        <v>1</v>
      </c>
      <c r="F22" s="1">
        <f t="shared" si="1"/>
        <v>4800.18</v>
      </c>
      <c r="G22" t="s">
        <v>12</v>
      </c>
    </row>
    <row r="23" spans="1:7" x14ac:dyDescent="0.25">
      <c r="A23" s="9"/>
      <c r="B23" s="11" t="s">
        <v>13</v>
      </c>
      <c r="C23" t="s">
        <v>5</v>
      </c>
      <c r="D23" s="1">
        <v>4145.1899999999996</v>
      </c>
      <c r="E23" s="5">
        <v>1</v>
      </c>
      <c r="F23" s="1">
        <f t="shared" si="1"/>
        <v>4145.1899999999996</v>
      </c>
      <c r="G23" t="s">
        <v>47</v>
      </c>
    </row>
    <row r="24" spans="1:7" x14ac:dyDescent="0.25">
      <c r="A24" s="9"/>
      <c r="B24" s="11" t="s">
        <v>45</v>
      </c>
      <c r="C24" t="s">
        <v>5</v>
      </c>
      <c r="D24" s="1">
        <v>3285.58</v>
      </c>
      <c r="E24" s="5">
        <v>1</v>
      </c>
      <c r="F24" s="1">
        <f t="shared" si="1"/>
        <v>3285.58</v>
      </c>
      <c r="G24" t="s">
        <v>46</v>
      </c>
    </row>
    <row r="25" spans="1:7" x14ac:dyDescent="0.25">
      <c r="A25" s="9"/>
      <c r="B25" s="11" t="s">
        <v>48</v>
      </c>
      <c r="C25" t="s">
        <v>5</v>
      </c>
      <c r="D25" s="1">
        <v>12198.37</v>
      </c>
      <c r="E25" s="5">
        <v>1</v>
      </c>
      <c r="F25" s="1">
        <f t="shared" si="1"/>
        <v>12198.37</v>
      </c>
      <c r="G25" t="s">
        <v>49</v>
      </c>
    </row>
    <row r="26" spans="1:7" x14ac:dyDescent="0.25">
      <c r="A26" s="3"/>
    </row>
    <row r="27" spans="1:7" ht="16.5" customHeight="1" x14ac:dyDescent="0.25">
      <c r="A27" s="9" t="s">
        <v>56</v>
      </c>
      <c r="B27" s="11" t="s">
        <v>7</v>
      </c>
      <c r="C27" t="s">
        <v>5</v>
      </c>
      <c r="D27" s="1">
        <v>6616.06</v>
      </c>
      <c r="E27" s="5">
        <v>1</v>
      </c>
      <c r="F27" s="1">
        <f t="shared" ref="F27:F29" si="2">D27*E27</f>
        <v>6616.06</v>
      </c>
      <c r="G27" s="4" t="s">
        <v>50</v>
      </c>
    </row>
    <row r="28" spans="1:7" x14ac:dyDescent="0.25">
      <c r="A28" s="9"/>
      <c r="B28" s="11" t="s">
        <v>8</v>
      </c>
      <c r="C28" t="s">
        <v>5</v>
      </c>
      <c r="D28" s="1">
        <v>2171.4499999999998</v>
      </c>
      <c r="E28" s="5">
        <v>1</v>
      </c>
      <c r="F28" s="1">
        <f t="shared" si="2"/>
        <v>2171.4499999999998</v>
      </c>
      <c r="G28" t="s">
        <v>51</v>
      </c>
    </row>
    <row r="29" spans="1:7" x14ac:dyDescent="0.25">
      <c r="A29" s="9"/>
      <c r="B29" s="11" t="s">
        <v>9</v>
      </c>
      <c r="C29" t="s">
        <v>5</v>
      </c>
      <c r="D29" s="1">
        <v>2803.86</v>
      </c>
      <c r="E29" s="5">
        <v>1</v>
      </c>
      <c r="F29" s="1">
        <f t="shared" si="2"/>
        <v>2803.86</v>
      </c>
      <c r="G29" t="s">
        <v>52</v>
      </c>
    </row>
    <row r="31" spans="1:7" x14ac:dyDescent="0.25">
      <c r="A31" s="6" t="s">
        <v>58</v>
      </c>
    </row>
    <row r="32" spans="1:7" x14ac:dyDescent="0.25">
      <c r="A32" s="7" t="s">
        <v>66</v>
      </c>
    </row>
    <row r="34" spans="1:7" x14ac:dyDescent="0.25">
      <c r="A34" t="s">
        <v>59</v>
      </c>
      <c r="B34" t="s">
        <v>60</v>
      </c>
      <c r="C34" s="1">
        <f>3*D2+D3</f>
        <v>312900</v>
      </c>
      <c r="F34" s="1" t="s">
        <v>70</v>
      </c>
    </row>
    <row r="35" spans="1:7" x14ac:dyDescent="0.25">
      <c r="B35" t="s">
        <v>61</v>
      </c>
      <c r="C35" s="1">
        <f>4*SUM(D6:D19) + 2* D5</f>
        <v>209554.2</v>
      </c>
      <c r="F35" s="10" t="s">
        <v>67</v>
      </c>
      <c r="G35" t="s">
        <v>72</v>
      </c>
    </row>
    <row r="36" spans="1:7" x14ac:dyDescent="0.25">
      <c r="B36" t="s">
        <v>62</v>
      </c>
      <c r="C36" s="1">
        <f>4*SUM(D21:D25)</f>
        <v>240696.00000000003</v>
      </c>
      <c r="F36" s="15" t="s">
        <v>68</v>
      </c>
      <c r="G36" t="s">
        <v>71</v>
      </c>
    </row>
    <row r="37" spans="1:7" x14ac:dyDescent="0.25">
      <c r="B37" t="s">
        <v>63</v>
      </c>
      <c r="C37" s="1">
        <f>2*SUM(D27:D29)</f>
        <v>23182.74</v>
      </c>
      <c r="F37" s="14" t="s">
        <v>69</v>
      </c>
      <c r="G37" t="s">
        <v>73</v>
      </c>
    </row>
    <row r="38" spans="1:7" x14ac:dyDescent="0.25">
      <c r="B38" t="s">
        <v>65</v>
      </c>
      <c r="C38" s="8">
        <f>SUM(C34:C37)</f>
        <v>786332.94000000006</v>
      </c>
    </row>
    <row r="39" spans="1:7" x14ac:dyDescent="0.25">
      <c r="A39" t="s">
        <v>64</v>
      </c>
    </row>
  </sheetData>
  <mergeCells count="4">
    <mergeCell ref="A21:A25"/>
    <mergeCell ref="A27:A29"/>
    <mergeCell ref="A2:A3"/>
    <mergeCell ref="A5:A19"/>
  </mergeCells>
  <hyperlinks>
    <hyperlink ref="G27" r:id="rId1" xr:uid="{F65B53C0-31DB-489E-B13A-FF5F3EA31B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RASHAP, BRIAN</dc:creator>
  <cp:lastModifiedBy>RASHAP, BRIAN</cp:lastModifiedBy>
  <dcterms:created xsi:type="dcterms:W3CDTF">2025-11-22T23:49:51Z</dcterms:created>
  <dcterms:modified xsi:type="dcterms:W3CDTF">2025-11-23T22:57:14Z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2025-11-23T01:19:38Z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f0efe392-ac65-4d0c-a10a-16e873316786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10, 3, 0, 1</vt:lpwstr>
  </property>
</Properties>
</file>