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p/Documents/Quantum/Quantum/TEF/"/>
    </mc:Choice>
  </mc:AlternateContent>
  <xr:revisionPtr revIDLastSave="0" documentId="8_{3D776439-80C0-024D-8135-F677A31075D2}" xr6:coauthVersionLast="47" xr6:coauthVersionMax="47" xr10:uidLastSave="{00000000-0000-0000-0000-000000000000}"/>
  <bookViews>
    <workbookView xWindow="12600" yWindow="1680" windowWidth="25540" windowHeight="16680" xr2:uid="{EB2CBE15-7BB4-DD40-815F-8021B0A65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E47" i="1"/>
  <c r="C47" i="1"/>
  <c r="G46" i="1"/>
  <c r="F47" i="1"/>
  <c r="E37" i="1"/>
  <c r="D37" i="1"/>
  <c r="I47" i="1"/>
  <c r="J47" i="1"/>
  <c r="J46" i="1"/>
  <c r="I46" i="1"/>
  <c r="C37" i="1" s="1"/>
  <c r="K45" i="1"/>
  <c r="J45" i="1"/>
  <c r="I45" i="1"/>
  <c r="I42" i="1"/>
  <c r="I43" i="1" s="1"/>
  <c r="I44" i="1" s="1"/>
  <c r="B47" i="1"/>
  <c r="F45" i="1"/>
  <c r="E45" i="1"/>
  <c r="D45" i="1"/>
  <c r="G45" i="1" s="1"/>
  <c r="G44" i="1"/>
  <c r="G43" i="1"/>
  <c r="G42" i="1"/>
  <c r="G41" i="1"/>
  <c r="F40" i="1"/>
  <c r="G40" i="1" s="1"/>
  <c r="G47" i="1" s="1"/>
  <c r="I31" i="1" s="1"/>
  <c r="G39" i="1"/>
  <c r="B31" i="1"/>
  <c r="F30" i="1"/>
  <c r="E30" i="1"/>
  <c r="D30" i="1"/>
  <c r="G29" i="1"/>
  <c r="G28" i="1"/>
  <c r="G27" i="1"/>
  <c r="G26" i="1"/>
  <c r="F25" i="1"/>
  <c r="G25" i="1" s="1"/>
  <c r="G24" i="1"/>
  <c r="C23" i="1"/>
  <c r="C31" i="1" s="1"/>
  <c r="D22" i="1"/>
  <c r="E22" i="1" s="1"/>
  <c r="F7" i="1"/>
  <c r="G7" i="1" s="1"/>
  <c r="E12" i="1"/>
  <c r="F12" i="1"/>
  <c r="D12" i="1"/>
  <c r="G11" i="1"/>
  <c r="G10" i="1"/>
  <c r="G9" i="1"/>
  <c r="G8" i="1"/>
  <c r="B13" i="1"/>
  <c r="B16" i="1" s="1"/>
  <c r="C38" i="1" l="1"/>
  <c r="D23" i="1"/>
  <c r="G30" i="1"/>
  <c r="D38" i="1"/>
  <c r="D31" i="1"/>
  <c r="E38" i="1"/>
  <c r="F37" i="1"/>
  <c r="G37" i="1" s="1"/>
  <c r="E23" i="1"/>
  <c r="F22" i="1"/>
  <c r="G22" i="1"/>
  <c r="E31" i="1"/>
  <c r="G12" i="1"/>
  <c r="F38" i="1" l="1"/>
  <c r="G38" i="1" s="1"/>
  <c r="F23" i="1"/>
  <c r="G23" i="1" s="1"/>
  <c r="G31" i="1" s="1"/>
  <c r="F31" i="1"/>
  <c r="G15" i="1"/>
  <c r="G6" i="1"/>
  <c r="D4" i="1"/>
  <c r="C5" i="1"/>
  <c r="C13" i="1" s="1"/>
  <c r="C16" i="1" s="1"/>
  <c r="E4" i="1" l="1"/>
  <c r="D5" i="1"/>
  <c r="D13" i="1" s="1"/>
  <c r="D16" i="1" s="1"/>
  <c r="F4" i="1" l="1"/>
  <c r="E5" i="1"/>
  <c r="G4" i="1"/>
  <c r="F5" i="1" l="1"/>
  <c r="G5" i="1" s="1"/>
  <c r="G13" i="1" s="1"/>
  <c r="G16" i="1" s="1"/>
  <c r="F13" i="1"/>
  <c r="F16" i="1" s="1"/>
  <c r="E13" i="1"/>
  <c r="E16" i="1" s="1"/>
</calcChain>
</file>

<file path=xl/sharedStrings.xml><?xml version="1.0" encoding="utf-8"?>
<sst xmlns="http://schemas.openxmlformats.org/spreadsheetml/2006/main" count="74" uniqueCount="38">
  <si>
    <t>TEF Funds UNM Subaward to CNM Ingenuity Budget Breakdown</t>
  </si>
  <si>
    <t>Year 1</t>
  </si>
  <si>
    <t>Year 2</t>
  </si>
  <si>
    <t>Year 3</t>
  </si>
  <si>
    <t>Year 4</t>
  </si>
  <si>
    <t>Year 5</t>
  </si>
  <si>
    <t>TOTAL</t>
  </si>
  <si>
    <t>NOTES</t>
  </si>
  <si>
    <t>Line Item Budget</t>
  </si>
  <si>
    <t>Fringe Benefits</t>
  </si>
  <si>
    <t>Travel</t>
  </si>
  <si>
    <t>Equipment</t>
  </si>
  <si>
    <t>Supplies</t>
  </si>
  <si>
    <t>Personnal</t>
  </si>
  <si>
    <t>Quantum Program Manager (Deanna Sandavol)</t>
  </si>
  <si>
    <t xml:space="preserve"> </t>
  </si>
  <si>
    <t>Travel NM Educactors to attend annual workshop ($30k) + Instructor Travel</t>
  </si>
  <si>
    <t>UNM Portion</t>
  </si>
  <si>
    <t>Elevate Quantum Workforce Website</t>
  </si>
  <si>
    <t>Annual Eduactors Workshop - held at CNM</t>
  </si>
  <si>
    <t>Significant amount of equipment does not meet $5k fixed asset threshold</t>
  </si>
  <si>
    <t>NM Educator Stipend (Quantum Shared Learning Group) for 2 years</t>
  </si>
  <si>
    <t>Student Tuition ($14,999 per student)</t>
  </si>
  <si>
    <t>Equipment for QuLL, as well as "traveling equipment" for state-wide education</t>
  </si>
  <si>
    <t>Other - Contract Services</t>
  </si>
  <si>
    <t>Other - Participant Support Costs</t>
  </si>
  <si>
    <t>CNM Subaward from UNM</t>
  </si>
  <si>
    <t>TOTAL CNM + UNM</t>
  </si>
  <si>
    <t>Other - Website</t>
  </si>
  <si>
    <t>Other - NM Educator Stipend</t>
  </si>
  <si>
    <t>Other - Annual QIS Workshop</t>
  </si>
  <si>
    <t>Other - Student Tuition</t>
  </si>
  <si>
    <t>Other - NMSU / NMT Training</t>
  </si>
  <si>
    <t>Revised TEF Funds UNM Subaward to CNM Ingenuity Budget Breakdown</t>
  </si>
  <si>
    <t>Additional 24752 in Year 2 and 25248 in Year 3 (2% increase)</t>
  </si>
  <si>
    <t>Previous $1812921</t>
  </si>
  <si>
    <t>Assume 34% fringe on year 2 and 3 adds</t>
  </si>
  <si>
    <t>Add $25k each to Yesr 2 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</si>
</sst>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" fontId="0" fillId="3" borderId="1" xfId="0" applyNumberFormat="1" applyFill="1" applyBorder="1"/>
    <xf numFmtId="0" fontId="3" fillId="0" borderId="0" xfId="0" applyFont="1"/>
    <xf numFmtId="0" fontId="3" fillId="2" borderId="1" xfId="0" applyFont="1" applyFill="1" applyBorder="1"/>
    <xf numFmtId="1" fontId="3" fillId="2" borderId="1" xfId="0" applyNumberFormat="1" applyFont="1" applyFill="1" applyBorder="1"/>
    <xf numFmtId="0" fontId="3" fillId="4" borderId="1" xfId="0" applyFont="1" applyFill="1" applyBorder="1"/>
    <xf numFmtId="1" fontId="3" fillId="4" borderId="1" xfId="0" applyNumberFormat="1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1" fontId="4" fillId="2" borderId="1" xfId="0" applyNumberFormat="1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3" fillId="6" borderId="1" xfId="0" applyFont="1" applyFill="1" applyBorder="1"/>
    <xf numFmtId="1" fontId="3" fillId="6" borderId="1" xfId="0" applyNumberFormat="1" applyFont="1" applyFill="1" applyBorder="1"/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5" xfId="0" applyFill="1" applyBorder="1"/>
    <xf numFmtId="1" fontId="0" fillId="3" borderId="6" xfId="0" applyNumberFormat="1" applyFill="1" applyBorder="1"/>
    <xf numFmtId="0" fontId="0" fillId="5" borderId="5" xfId="0" applyFill="1" applyBorder="1"/>
    <xf numFmtId="1" fontId="0" fillId="5" borderId="6" xfId="0" applyNumberFormat="1" applyFill="1" applyBorder="1"/>
    <xf numFmtId="0" fontId="3" fillId="4" borderId="7" xfId="0" applyFont="1" applyFill="1" applyBorder="1"/>
    <xf numFmtId="1" fontId="3" fillId="4" borderId="8" xfId="0" applyNumberFormat="1" applyFont="1" applyFill="1" applyBorder="1"/>
    <xf numFmtId="1" fontId="3" fillId="4" borderId="9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5" borderId="10" xfId="0" applyFill="1" applyBorder="1"/>
    <xf numFmtId="1" fontId="0" fillId="5" borderId="11" xfId="0" applyNumberFormat="1" applyFill="1" applyBorder="1"/>
    <xf numFmtId="1" fontId="3" fillId="4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C226-7DF0-DE4B-A584-7AB384523D3D}">
  <dimension ref="A1:K47"/>
  <sheetViews>
    <sheetView tabSelected="1" topLeftCell="A15" workbookViewId="0">
      <selection activeCell="A34" sqref="A34:G47"/>
    </sheetView>
  </sheetViews>
  <sheetFormatPr baseColWidth="10" defaultRowHeight="16" x14ac:dyDescent="0.2"/>
  <cols>
    <col min="1" max="1" width="27.6640625" customWidth="1"/>
    <col min="8" max="8" width="65.5" customWidth="1"/>
  </cols>
  <sheetData>
    <row r="1" spans="1:8" x14ac:dyDescent="0.2">
      <c r="A1" s="1"/>
      <c r="B1" s="30" t="s">
        <v>0</v>
      </c>
      <c r="C1" s="30"/>
      <c r="D1" s="30"/>
      <c r="E1" s="30"/>
      <c r="F1" s="30"/>
      <c r="G1" s="30"/>
      <c r="H1" s="3"/>
    </row>
    <row r="2" spans="1:8" x14ac:dyDescent="0.2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</row>
    <row r="3" spans="1:8" x14ac:dyDescent="0.2">
      <c r="A3" s="5" t="s">
        <v>8</v>
      </c>
      <c r="B3" s="6"/>
      <c r="C3" s="6"/>
      <c r="D3" s="6"/>
      <c r="E3" s="6"/>
      <c r="F3" s="6"/>
      <c r="G3" s="6"/>
      <c r="H3" s="5"/>
    </row>
    <row r="4" spans="1:8" x14ac:dyDescent="0.2">
      <c r="A4" s="5" t="s">
        <v>13</v>
      </c>
      <c r="B4" s="6"/>
      <c r="C4" s="6">
        <v>78708</v>
      </c>
      <c r="D4" s="6">
        <f>C4*1.02</f>
        <v>80282.16</v>
      </c>
      <c r="E4" s="6">
        <f>D4*1.02</f>
        <v>81887.803200000009</v>
      </c>
      <c r="F4" s="6">
        <f>E4*1.02</f>
        <v>83525.55926400001</v>
      </c>
      <c r="G4" s="6">
        <f t="shared" ref="G4:G12" si="0">SUM(B4:F4)</f>
        <v>324403.52246400004</v>
      </c>
      <c r="H4" s="5" t="s">
        <v>14</v>
      </c>
    </row>
    <row r="5" spans="1:8" x14ac:dyDescent="0.2">
      <c r="A5" s="5" t="s">
        <v>9</v>
      </c>
      <c r="B5" s="6"/>
      <c r="C5" s="6">
        <f>C4*0.34</f>
        <v>26760.720000000001</v>
      </c>
      <c r="D5" s="6">
        <f>D4*0.34</f>
        <v>27295.934400000002</v>
      </c>
      <c r="E5" s="6">
        <f>E4*0.34</f>
        <v>27841.853088000003</v>
      </c>
      <c r="F5" s="6">
        <f>F4*0.34</f>
        <v>28398.690149760005</v>
      </c>
      <c r="G5" s="6">
        <f t="shared" si="0"/>
        <v>110297.19763776001</v>
      </c>
      <c r="H5" s="5" t="s">
        <v>14</v>
      </c>
    </row>
    <row r="6" spans="1:8" x14ac:dyDescent="0.2">
      <c r="A6" s="5" t="s">
        <v>10</v>
      </c>
      <c r="B6" s="6" t="s">
        <v>15</v>
      </c>
      <c r="C6" s="6">
        <v>35000</v>
      </c>
      <c r="D6" s="6">
        <v>35000</v>
      </c>
      <c r="E6" s="6">
        <v>35000</v>
      </c>
      <c r="F6" s="6">
        <v>35000</v>
      </c>
      <c r="G6" s="6">
        <f t="shared" si="0"/>
        <v>140000</v>
      </c>
      <c r="H6" s="5" t="s">
        <v>16</v>
      </c>
    </row>
    <row r="7" spans="1:8" x14ac:dyDescent="0.2">
      <c r="A7" s="5" t="s">
        <v>11</v>
      </c>
      <c r="B7" s="6">
        <v>21644</v>
      </c>
      <c r="C7" s="6">
        <v>200000</v>
      </c>
      <c r="D7" s="6">
        <v>35000</v>
      </c>
      <c r="E7" s="6">
        <v>20000</v>
      </c>
      <c r="F7" s="6">
        <f>25000-3137-5000</f>
        <v>16863</v>
      </c>
      <c r="G7" s="6">
        <f t="shared" si="0"/>
        <v>293507</v>
      </c>
      <c r="H7" s="5" t="s">
        <v>23</v>
      </c>
    </row>
    <row r="8" spans="1:8" x14ac:dyDescent="0.2">
      <c r="A8" s="5" t="s">
        <v>12</v>
      </c>
      <c r="B8" s="6">
        <v>4731</v>
      </c>
      <c r="C8" s="6">
        <v>130000</v>
      </c>
      <c r="D8" s="6">
        <v>60000</v>
      </c>
      <c r="E8" s="6">
        <v>30000</v>
      </c>
      <c r="F8" s="6">
        <v>30000</v>
      </c>
      <c r="G8" s="6">
        <f t="shared" si="0"/>
        <v>254731</v>
      </c>
      <c r="H8" s="5" t="s">
        <v>20</v>
      </c>
    </row>
    <row r="9" spans="1:8" x14ac:dyDescent="0.2">
      <c r="A9" s="12" t="s">
        <v>24</v>
      </c>
      <c r="B9" s="13"/>
      <c r="C9" s="13">
        <v>40000</v>
      </c>
      <c r="D9" s="13">
        <v>20000</v>
      </c>
      <c r="E9" s="13">
        <v>10000</v>
      </c>
      <c r="F9" s="13">
        <v>10000</v>
      </c>
      <c r="G9" s="13">
        <f t="shared" si="0"/>
        <v>80000</v>
      </c>
      <c r="H9" s="12" t="s">
        <v>18</v>
      </c>
    </row>
    <row r="10" spans="1:8" x14ac:dyDescent="0.2">
      <c r="A10" s="12" t="s">
        <v>25</v>
      </c>
      <c r="B10" s="13"/>
      <c r="C10" s="13">
        <v>25000</v>
      </c>
      <c r="D10" s="13">
        <v>50000</v>
      </c>
      <c r="E10" s="13">
        <v>25000</v>
      </c>
      <c r="F10" s="13"/>
      <c r="G10" s="13">
        <f t="shared" si="0"/>
        <v>100000</v>
      </c>
      <c r="H10" s="12" t="s">
        <v>21</v>
      </c>
    </row>
    <row r="11" spans="1:8" x14ac:dyDescent="0.2">
      <c r="A11" s="12" t="s">
        <v>24</v>
      </c>
      <c r="B11" s="13"/>
      <c r="C11" s="13">
        <v>60000</v>
      </c>
      <c r="D11" s="13">
        <v>60000</v>
      </c>
      <c r="E11" s="13">
        <v>60000</v>
      </c>
      <c r="F11" s="13">
        <v>60000</v>
      </c>
      <c r="G11" s="13">
        <f t="shared" si="0"/>
        <v>240000</v>
      </c>
      <c r="H11" s="12" t="s">
        <v>19</v>
      </c>
    </row>
    <row r="12" spans="1:8" x14ac:dyDescent="0.2">
      <c r="A12" s="12" t="s">
        <v>25</v>
      </c>
      <c r="B12" s="13"/>
      <c r="C12" s="13">
        <v>0</v>
      </c>
      <c r="D12" s="13">
        <f>14999*2</f>
        <v>29998</v>
      </c>
      <c r="E12" s="13">
        <f>14999*8</f>
        <v>119992</v>
      </c>
      <c r="F12" s="13">
        <f>14999*8</f>
        <v>119992</v>
      </c>
      <c r="G12" s="13">
        <f t="shared" si="0"/>
        <v>269982</v>
      </c>
      <c r="H12" s="12" t="s">
        <v>22</v>
      </c>
    </row>
    <row r="13" spans="1:8" x14ac:dyDescent="0.2">
      <c r="A13" s="10" t="s">
        <v>26</v>
      </c>
      <c r="B13" s="11">
        <f t="shared" ref="B13:G13" si="1">SUM(B4:B12)</f>
        <v>26375</v>
      </c>
      <c r="C13" s="11">
        <f t="shared" si="1"/>
        <v>595468.72</v>
      </c>
      <c r="D13" s="11">
        <f t="shared" si="1"/>
        <v>397576.0944</v>
      </c>
      <c r="E13" s="11">
        <f t="shared" si="1"/>
        <v>409721.656288</v>
      </c>
      <c r="F13" s="11">
        <f t="shared" si="1"/>
        <v>383779.24941376003</v>
      </c>
      <c r="G13" s="11">
        <f t="shared" si="1"/>
        <v>1812920.72010176</v>
      </c>
      <c r="H13" s="10"/>
    </row>
    <row r="14" spans="1:8" x14ac:dyDescent="0.2">
      <c r="A14" s="18"/>
      <c r="B14" s="19"/>
      <c r="C14" s="19"/>
      <c r="D14" s="19"/>
      <c r="E14" s="19"/>
      <c r="F14" s="19"/>
      <c r="G14" s="19"/>
      <c r="H14" s="18"/>
    </row>
    <row r="15" spans="1:8" x14ac:dyDescent="0.2">
      <c r="A15" s="15" t="s">
        <v>17</v>
      </c>
      <c r="B15" s="16"/>
      <c r="C15" s="17">
        <v>46769</v>
      </c>
      <c r="D15" s="17">
        <v>46770</v>
      </c>
      <c r="E15" s="17">
        <v>46770</v>
      </c>
      <c r="F15" s="17">
        <v>46770</v>
      </c>
      <c r="G15" s="16">
        <f>SUM(C15:F15)</f>
        <v>187079</v>
      </c>
      <c r="H15" s="15"/>
    </row>
    <row r="16" spans="1:8" s="7" customFormat="1" x14ac:dyDescent="0.2">
      <c r="A16" s="8" t="s">
        <v>27</v>
      </c>
      <c r="B16" s="14">
        <f t="shared" ref="B16:G16" si="2">SUM(B13:B15)</f>
        <v>26375</v>
      </c>
      <c r="C16" s="14">
        <f t="shared" si="2"/>
        <v>642237.72</v>
      </c>
      <c r="D16" s="14">
        <f t="shared" si="2"/>
        <v>444346.0944</v>
      </c>
      <c r="E16" s="14">
        <f t="shared" si="2"/>
        <v>456491.656288</v>
      </c>
      <c r="F16" s="14">
        <f t="shared" si="2"/>
        <v>430549.24941376003</v>
      </c>
      <c r="G16" s="9">
        <f t="shared" si="2"/>
        <v>1999999.72010176</v>
      </c>
      <c r="H16" s="8"/>
    </row>
    <row r="18" spans="1:9" ht="17" thickBot="1" x14ac:dyDescent="0.25"/>
    <row r="19" spans="1:9" x14ac:dyDescent="0.2">
      <c r="A19" s="20"/>
      <c r="B19" s="31" t="s">
        <v>0</v>
      </c>
      <c r="C19" s="31"/>
      <c r="D19" s="31"/>
      <c r="E19" s="31"/>
      <c r="F19" s="31"/>
      <c r="G19" s="32"/>
    </row>
    <row r="20" spans="1:9" x14ac:dyDescent="0.2">
      <c r="A20" s="21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2" t="s">
        <v>6</v>
      </c>
    </row>
    <row r="21" spans="1:9" x14ac:dyDescent="0.2">
      <c r="A21" s="23" t="s">
        <v>8</v>
      </c>
      <c r="B21" s="6"/>
      <c r="C21" s="6"/>
      <c r="D21" s="6"/>
      <c r="E21" s="6"/>
      <c r="F21" s="6"/>
      <c r="G21" s="24"/>
    </row>
    <row r="22" spans="1:9" x14ac:dyDescent="0.2">
      <c r="A22" s="23" t="s">
        <v>13</v>
      </c>
      <c r="B22" s="6"/>
      <c r="C22" s="6">
        <v>78708</v>
      </c>
      <c r="D22" s="6">
        <f>C22*1.02</f>
        <v>80282.16</v>
      </c>
      <c r="E22" s="6">
        <f>D22*1.02</f>
        <v>81887.803200000009</v>
      </c>
      <c r="F22" s="6">
        <f>E22*1.02</f>
        <v>83525.55926400001</v>
      </c>
      <c r="G22" s="24">
        <f t="shared" ref="G22:G30" si="3">SUM(B22:F22)</f>
        <v>324403.52246400004</v>
      </c>
    </row>
    <row r="23" spans="1:9" x14ac:dyDescent="0.2">
      <c r="A23" s="23" t="s">
        <v>9</v>
      </c>
      <c r="B23" s="6"/>
      <c r="C23" s="6">
        <f>C22*0.34</f>
        <v>26760.720000000001</v>
      </c>
      <c r="D23" s="6">
        <f>D22*0.34</f>
        <v>27295.934400000002</v>
      </c>
      <c r="E23" s="6">
        <f>E22*0.34</f>
        <v>27841.853088000003</v>
      </c>
      <c r="F23" s="6">
        <f>F22*0.34</f>
        <v>28398.690149760005</v>
      </c>
      <c r="G23" s="24">
        <f t="shared" si="3"/>
        <v>110297.19763776001</v>
      </c>
    </row>
    <row r="24" spans="1:9" x14ac:dyDescent="0.2">
      <c r="A24" s="23" t="s">
        <v>10</v>
      </c>
      <c r="B24" s="6" t="s">
        <v>15</v>
      </c>
      <c r="C24" s="6">
        <v>35000</v>
      </c>
      <c r="D24" s="6">
        <v>35000</v>
      </c>
      <c r="E24" s="6">
        <v>35000</v>
      </c>
      <c r="F24" s="6">
        <v>35000</v>
      </c>
      <c r="G24" s="24">
        <f t="shared" si="3"/>
        <v>140000</v>
      </c>
    </row>
    <row r="25" spans="1:9" x14ac:dyDescent="0.2">
      <c r="A25" s="23" t="s">
        <v>11</v>
      </c>
      <c r="B25" s="6">
        <v>21644</v>
      </c>
      <c r="C25" s="6">
        <v>200000</v>
      </c>
      <c r="D25" s="6">
        <v>35000</v>
      </c>
      <c r="E25" s="6">
        <v>20000</v>
      </c>
      <c r="F25" s="6">
        <f>25000-3137-5000</f>
        <v>16863</v>
      </c>
      <c r="G25" s="24">
        <f t="shared" si="3"/>
        <v>293507</v>
      </c>
    </row>
    <row r="26" spans="1:9" x14ac:dyDescent="0.2">
      <c r="A26" s="23" t="s">
        <v>12</v>
      </c>
      <c r="B26" s="6">
        <v>4731</v>
      </c>
      <c r="C26" s="6">
        <v>130000</v>
      </c>
      <c r="D26" s="6">
        <v>60000</v>
      </c>
      <c r="E26" s="6">
        <v>30000</v>
      </c>
      <c r="F26" s="6">
        <v>30000</v>
      </c>
      <c r="G26" s="24">
        <f t="shared" si="3"/>
        <v>254731</v>
      </c>
    </row>
    <row r="27" spans="1:9" x14ac:dyDescent="0.2">
      <c r="A27" s="25" t="s">
        <v>28</v>
      </c>
      <c r="B27" s="13"/>
      <c r="C27" s="13">
        <v>40000</v>
      </c>
      <c r="D27" s="13">
        <v>20000</v>
      </c>
      <c r="E27" s="13">
        <v>10000</v>
      </c>
      <c r="F27" s="13">
        <v>10000</v>
      </c>
      <c r="G27" s="26">
        <f t="shared" si="3"/>
        <v>80000</v>
      </c>
    </row>
    <row r="28" spans="1:9" x14ac:dyDescent="0.2">
      <c r="A28" s="25" t="s">
        <v>29</v>
      </c>
      <c r="B28" s="13"/>
      <c r="C28" s="13">
        <v>25000</v>
      </c>
      <c r="D28" s="13">
        <v>50000</v>
      </c>
      <c r="E28" s="13">
        <v>25000</v>
      </c>
      <c r="F28" s="13"/>
      <c r="G28" s="26">
        <f t="shared" si="3"/>
        <v>100000</v>
      </c>
    </row>
    <row r="29" spans="1:9" x14ac:dyDescent="0.2">
      <c r="A29" s="25" t="s">
        <v>30</v>
      </c>
      <c r="B29" s="13"/>
      <c r="C29" s="13">
        <v>60000</v>
      </c>
      <c r="D29" s="13">
        <v>60000</v>
      </c>
      <c r="E29" s="13">
        <v>60000</v>
      </c>
      <c r="F29" s="13">
        <v>60000</v>
      </c>
      <c r="G29" s="26">
        <f t="shared" si="3"/>
        <v>240000</v>
      </c>
    </row>
    <row r="30" spans="1:9" x14ac:dyDescent="0.2">
      <c r="A30" s="25" t="s">
        <v>31</v>
      </c>
      <c r="B30" s="13"/>
      <c r="C30" s="13">
        <v>0</v>
      </c>
      <c r="D30" s="13">
        <f>14999*2</f>
        <v>29998</v>
      </c>
      <c r="E30" s="13">
        <f>14999*8</f>
        <v>119992</v>
      </c>
      <c r="F30" s="13">
        <f>14999*8</f>
        <v>119992</v>
      </c>
      <c r="G30" s="26">
        <f t="shared" si="3"/>
        <v>269982</v>
      </c>
    </row>
    <row r="31" spans="1:9" ht="17" thickBot="1" x14ac:dyDescent="0.25">
      <c r="A31" s="27" t="s">
        <v>26</v>
      </c>
      <c r="B31" s="28">
        <f t="shared" ref="B31" si="4">SUM(B22:B30)</f>
        <v>26375</v>
      </c>
      <c r="C31" s="28">
        <f t="shared" ref="C31" si="5">SUM(C22:C30)</f>
        <v>595468.72</v>
      </c>
      <c r="D31" s="28">
        <f t="shared" ref="D31" si="6">SUM(D22:D30)</f>
        <v>397576.0944</v>
      </c>
      <c r="E31" s="28">
        <f t="shared" ref="E31" si="7">SUM(E22:E30)</f>
        <v>409721.656288</v>
      </c>
      <c r="F31" s="28">
        <f t="shared" ref="F31" si="8">SUM(F22:F30)</f>
        <v>383779.24941376003</v>
      </c>
      <c r="G31" s="29">
        <f t="shared" ref="G31" si="9">SUM(G22:G30)</f>
        <v>1812920.72010176</v>
      </c>
      <c r="I31" s="36">
        <f>G47-G31</f>
        <v>200000</v>
      </c>
    </row>
    <row r="33" spans="1:11" ht="17" thickBot="1" x14ac:dyDescent="0.25"/>
    <row r="34" spans="1:11" x14ac:dyDescent="0.2">
      <c r="A34" s="20"/>
      <c r="B34" s="31" t="s">
        <v>33</v>
      </c>
      <c r="C34" s="31"/>
      <c r="D34" s="31"/>
      <c r="E34" s="31"/>
      <c r="F34" s="31"/>
      <c r="G34" s="32"/>
    </row>
    <row r="35" spans="1:11" x14ac:dyDescent="0.2">
      <c r="A35" s="21"/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2" t="s">
        <v>6</v>
      </c>
    </row>
    <row r="36" spans="1:11" x14ac:dyDescent="0.2">
      <c r="A36" s="23" t="s">
        <v>8</v>
      </c>
      <c r="B36" s="6"/>
      <c r="C36" s="6"/>
      <c r="D36" s="6"/>
      <c r="E36" s="6"/>
      <c r="F36" s="6"/>
      <c r="G36" s="24"/>
    </row>
    <row r="37" spans="1:11" x14ac:dyDescent="0.2">
      <c r="A37" s="23" t="s">
        <v>13</v>
      </c>
      <c r="B37" s="6"/>
      <c r="C37" s="6">
        <f>78708+I46</f>
        <v>97179.996453376676</v>
      </c>
      <c r="D37" s="6">
        <f>D22+J46</f>
        <v>99123.596382444215</v>
      </c>
      <c r="E37" s="6">
        <f>E22</f>
        <v>81887.803200000009</v>
      </c>
      <c r="F37" s="6">
        <f>E37*1.02</f>
        <v>83525.55926400001</v>
      </c>
      <c r="G37" s="24">
        <f t="shared" ref="G37:G46" si="10">SUM(B37:F37)</f>
        <v>361716.95529982087</v>
      </c>
    </row>
    <row r="38" spans="1:11" x14ac:dyDescent="0.2">
      <c r="A38" s="23" t="s">
        <v>9</v>
      </c>
      <c r="B38" s="6"/>
      <c r="C38" s="6">
        <f>C37*0.34</f>
        <v>33041.198794148069</v>
      </c>
      <c r="D38" s="6">
        <f>D37*0.34</f>
        <v>33702.022770031035</v>
      </c>
      <c r="E38" s="6">
        <f>E37*0.34</f>
        <v>27841.853088000003</v>
      </c>
      <c r="F38" s="6">
        <f>F37*0.34</f>
        <v>28398.690149760005</v>
      </c>
      <c r="G38" s="24">
        <f t="shared" si="10"/>
        <v>122983.76480193912</v>
      </c>
      <c r="H38" t="s">
        <v>34</v>
      </c>
    </row>
    <row r="39" spans="1:11" x14ac:dyDescent="0.2">
      <c r="A39" s="23" t="s">
        <v>10</v>
      </c>
      <c r="B39" s="6" t="s">
        <v>15</v>
      </c>
      <c r="C39" s="6">
        <v>35000</v>
      </c>
      <c r="D39" s="6">
        <v>35000</v>
      </c>
      <c r="E39" s="6">
        <v>35000</v>
      </c>
      <c r="F39" s="6">
        <v>35000</v>
      </c>
      <c r="G39" s="24">
        <f t="shared" si="10"/>
        <v>140000</v>
      </c>
      <c r="H39" t="s">
        <v>36</v>
      </c>
    </row>
    <row r="40" spans="1:11" x14ac:dyDescent="0.2">
      <c r="A40" s="23" t="s">
        <v>11</v>
      </c>
      <c r="B40" s="6">
        <v>21644</v>
      </c>
      <c r="C40" s="6">
        <v>225000</v>
      </c>
      <c r="D40" s="6">
        <v>60000</v>
      </c>
      <c r="E40" s="6">
        <v>20000</v>
      </c>
      <c r="F40" s="6">
        <f>25000-3137-5000</f>
        <v>16863</v>
      </c>
      <c r="G40" s="24">
        <f t="shared" si="10"/>
        <v>343507</v>
      </c>
      <c r="H40" t="s">
        <v>37</v>
      </c>
    </row>
    <row r="41" spans="1:11" x14ac:dyDescent="0.2">
      <c r="A41" s="23" t="s">
        <v>12</v>
      </c>
      <c r="B41" s="6">
        <v>4731</v>
      </c>
      <c r="C41" s="6">
        <v>130000</v>
      </c>
      <c r="D41" s="6">
        <v>60000</v>
      </c>
      <c r="E41" s="6">
        <v>30000</v>
      </c>
      <c r="F41" s="6">
        <v>30000</v>
      </c>
      <c r="G41" s="24">
        <f t="shared" si="10"/>
        <v>254731</v>
      </c>
    </row>
    <row r="42" spans="1:11" x14ac:dyDescent="0.2">
      <c r="A42" s="25" t="s">
        <v>28</v>
      </c>
      <c r="B42" s="13"/>
      <c r="C42" s="13">
        <v>40000</v>
      </c>
      <c r="D42" s="13">
        <v>20000</v>
      </c>
      <c r="E42" s="13">
        <v>10000</v>
      </c>
      <c r="F42" s="13">
        <v>10000</v>
      </c>
      <c r="G42" s="26">
        <f t="shared" si="10"/>
        <v>80000</v>
      </c>
      <c r="I42" s="36">
        <f>50000/1.39</f>
        <v>35971.223021582737</v>
      </c>
      <c r="J42" s="36"/>
      <c r="K42" s="36"/>
    </row>
    <row r="43" spans="1:11" x14ac:dyDescent="0.2">
      <c r="A43" s="25" t="s">
        <v>29</v>
      </c>
      <c r="B43" s="13"/>
      <c r="C43" s="13">
        <v>25000</v>
      </c>
      <c r="D43" s="13">
        <v>50000</v>
      </c>
      <c r="E43" s="13">
        <v>25000</v>
      </c>
      <c r="F43" s="13"/>
      <c r="G43" s="26">
        <f t="shared" si="10"/>
        <v>100000</v>
      </c>
      <c r="I43" s="36">
        <f>I42*0.39</f>
        <v>14028.776978417267</v>
      </c>
      <c r="J43" s="36"/>
      <c r="K43" s="36"/>
    </row>
    <row r="44" spans="1:11" x14ac:dyDescent="0.2">
      <c r="A44" s="25" t="s">
        <v>30</v>
      </c>
      <c r="B44" s="13"/>
      <c r="C44" s="13">
        <v>60000</v>
      </c>
      <c r="D44" s="13">
        <v>60000</v>
      </c>
      <c r="E44" s="13">
        <v>60000</v>
      </c>
      <c r="F44" s="13">
        <v>60000</v>
      </c>
      <c r="G44" s="26">
        <f t="shared" si="10"/>
        <v>240000</v>
      </c>
      <c r="I44" s="36">
        <f>SUM(I42:I43)</f>
        <v>50000</v>
      </c>
      <c r="J44" s="36"/>
      <c r="K44" s="36"/>
    </row>
    <row r="45" spans="1:11" x14ac:dyDescent="0.2">
      <c r="A45" s="25" t="s">
        <v>31</v>
      </c>
      <c r="B45" s="13"/>
      <c r="C45" s="13">
        <v>0</v>
      </c>
      <c r="D45" s="13">
        <f>14999*2</f>
        <v>29998</v>
      </c>
      <c r="E45" s="13">
        <f>14999*8</f>
        <v>119992</v>
      </c>
      <c r="F45" s="13">
        <f>14999*8</f>
        <v>119992</v>
      </c>
      <c r="G45" s="26">
        <f t="shared" si="10"/>
        <v>269982</v>
      </c>
      <c r="I45" s="36">
        <f>I44/2.02</f>
        <v>24752.475247524751</v>
      </c>
      <c r="J45" s="36">
        <f>I45*1.02</f>
        <v>25247.524752475249</v>
      </c>
      <c r="K45" s="36">
        <f>I45+J45</f>
        <v>50000</v>
      </c>
    </row>
    <row r="46" spans="1:11" x14ac:dyDescent="0.2">
      <c r="A46" s="33" t="s">
        <v>32</v>
      </c>
      <c r="B46" s="34"/>
      <c r="C46" s="34">
        <v>16000</v>
      </c>
      <c r="D46" s="34">
        <v>28000</v>
      </c>
      <c r="E46" s="34">
        <v>28000</v>
      </c>
      <c r="F46" s="34">
        <v>28000</v>
      </c>
      <c r="G46" s="26">
        <f t="shared" si="10"/>
        <v>100000</v>
      </c>
      <c r="I46" s="36">
        <f>I45/1.34</f>
        <v>18471.99645337668</v>
      </c>
      <c r="J46" s="36">
        <f>J45/1.34</f>
        <v>18841.436382444215</v>
      </c>
      <c r="K46" s="36"/>
    </row>
    <row r="47" spans="1:11" ht="17" thickBot="1" x14ac:dyDescent="0.25">
      <c r="A47" s="27" t="s">
        <v>26</v>
      </c>
      <c r="B47" s="28">
        <f t="shared" ref="B47:G47" si="11">SUM(B37:B45)</f>
        <v>26375</v>
      </c>
      <c r="C47" s="28">
        <f>SUM(C37:C46)</f>
        <v>661221.19524752477</v>
      </c>
      <c r="D47" s="28">
        <f>SUM(D37:D46)</f>
        <v>475823.61915247526</v>
      </c>
      <c r="E47" s="28">
        <f>SUM(E37:E46)</f>
        <v>437721.656288</v>
      </c>
      <c r="F47" s="28">
        <f>SUM(F37:F46)</f>
        <v>411779.24941376003</v>
      </c>
      <c r="G47" s="29">
        <f>SUM(G37:G46)</f>
        <v>2012920.72010176</v>
      </c>
      <c r="H47" t="s">
        <v>35</v>
      </c>
      <c r="I47" s="35">
        <f>I46*0.34</f>
        <v>6280.4787941480718</v>
      </c>
      <c r="J47" s="35">
        <f>J46*0.34</f>
        <v>6406.0883700310333</v>
      </c>
      <c r="K47" s="36"/>
    </row>
  </sheetData>
  <mergeCells count="3">
    <mergeCell ref="B1:G1"/>
    <mergeCell ref="B19:G19"/>
    <mergeCell ref="B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RASHAP, BRIAN</dc:creator>
  <cp:lastModifiedBy>RASHAP, BRIAN</cp:lastModifiedBy>
  <dcterms:created xsi:type="dcterms:W3CDTF">2025-11-11T14:20:54Z</dcterms:created>
  <dcterms:modified xsi:type="dcterms:W3CDTF">2026-03-29T12:40:17Z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2025-11-11T15:15:27Z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958428b1-be81-4b21-aa07-7d9dd461f4cc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50, 3, 0, 1</vt:lpwstr>
  </property>
</Properties>
</file>