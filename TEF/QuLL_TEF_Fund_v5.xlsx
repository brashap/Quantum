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ap/Documents/Quantum/Quantum/TEF/"/>
    </mc:Choice>
  </mc:AlternateContent>
  <xr:revisionPtr revIDLastSave="0" documentId="13_ncr:1_{4600CD2E-6AC8-7E4C-A9A4-DF0019BF6127}" xr6:coauthVersionLast="47" xr6:coauthVersionMax="47" xr10:uidLastSave="{00000000-0000-0000-0000-000000000000}"/>
  <bookViews>
    <workbookView xWindow="23520" yWindow="820" windowWidth="25540" windowHeight="16680" xr2:uid="{EB2CBE15-7BB4-DD40-815F-8021B0A65F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C31" i="1"/>
  <c r="B31" i="1"/>
  <c r="F30" i="1"/>
  <c r="G30" i="1" s="1"/>
  <c r="E30" i="1"/>
  <c r="D30" i="1"/>
  <c r="G29" i="1"/>
  <c r="G28" i="1"/>
  <c r="G27" i="1"/>
  <c r="G26" i="1"/>
  <c r="F25" i="1"/>
  <c r="G25" i="1" s="1"/>
  <c r="G24" i="1"/>
  <c r="D23" i="1"/>
  <c r="C23" i="1"/>
  <c r="D22" i="1"/>
  <c r="E22" i="1" s="1"/>
  <c r="F7" i="1"/>
  <c r="G7" i="1"/>
  <c r="E12" i="1"/>
  <c r="F12" i="1"/>
  <c r="D12" i="1"/>
  <c r="G11" i="1"/>
  <c r="G10" i="1"/>
  <c r="G9" i="1"/>
  <c r="G8" i="1"/>
  <c r="B13" i="1"/>
  <c r="B16" i="1" s="1"/>
  <c r="E23" i="1" l="1"/>
  <c r="F22" i="1"/>
  <c r="G22" i="1"/>
  <c r="E31" i="1"/>
  <c r="G12" i="1"/>
  <c r="F23" i="1" l="1"/>
  <c r="G23" i="1" s="1"/>
  <c r="G31" i="1" s="1"/>
  <c r="F31" i="1"/>
  <c r="G15" i="1"/>
  <c r="G6" i="1"/>
  <c r="D4" i="1"/>
  <c r="C5" i="1"/>
  <c r="C13" i="1" s="1"/>
  <c r="C16" i="1" s="1"/>
  <c r="E4" i="1" l="1"/>
  <c r="D5" i="1"/>
  <c r="D13" i="1" s="1"/>
  <c r="D16" i="1" s="1"/>
  <c r="F4" i="1" l="1"/>
  <c r="E5" i="1"/>
  <c r="G4" i="1"/>
  <c r="F5" i="1" l="1"/>
  <c r="G5" i="1" s="1"/>
  <c r="G13" i="1" s="1"/>
  <c r="G16" i="1" s="1"/>
  <c r="F13" i="1"/>
  <c r="F16" i="1" s="1"/>
  <c r="E13" i="1"/>
  <c r="E16" i="1" s="1"/>
</calcChain>
</file>

<file path=xl/sharedStrings.xml><?xml version="1.0" encoding="utf-8"?>
<sst xmlns="http://schemas.openxmlformats.org/spreadsheetml/2006/main" count="50" uniqueCount="32">
  <si>
    <t>TEF Funds UNM Subaward to CNM Ingenuity Budget Breakdown</t>
  </si>
  <si>
    <t>Year 1</t>
  </si>
  <si>
    <t>Year 2</t>
  </si>
  <si>
    <t>Year 3</t>
  </si>
  <si>
    <t>Year 4</t>
  </si>
  <si>
    <t>Year 5</t>
  </si>
  <si>
    <t>TOTAL</t>
  </si>
  <si>
    <t>NOTES</t>
  </si>
  <si>
    <t>Line Item Budget</t>
  </si>
  <si>
    <t>Fringe Benefits</t>
  </si>
  <si>
    <t>Travel</t>
  </si>
  <si>
    <t>Equipment</t>
  </si>
  <si>
    <t>Supplies</t>
  </si>
  <si>
    <t>Personnal</t>
  </si>
  <si>
    <t>Quantum Program Manager (Deanna Sandavol)</t>
  </si>
  <si>
    <t xml:space="preserve"> </t>
  </si>
  <si>
    <t>Travel NM Educactors to attend annual workshop ($30k) + Instructor Travel</t>
  </si>
  <si>
    <t>UNM Portion</t>
  </si>
  <si>
    <t>Elevate Quantum Workforce Website</t>
  </si>
  <si>
    <t>Annual Eduactors Workshop - held at CNM</t>
  </si>
  <si>
    <t>Significant amount of equipment does not meet $5k fixed asset threshold</t>
  </si>
  <si>
    <t>NM Educator Stipend (Quantum Shared Learning Group) for 2 years</t>
  </si>
  <si>
    <t>Student Tuition ($14,999 per student)</t>
  </si>
  <si>
    <t>Equipment for QuLL, as well as "traveling equipment" for state-wide education</t>
  </si>
  <si>
    <t>Other - Contract Services</t>
  </si>
  <si>
    <t>Other - Participant Support Costs</t>
  </si>
  <si>
    <t>CNM Subaward from UNM</t>
  </si>
  <si>
    <t>TOTAL CNM + UNM</t>
  </si>
  <si>
    <t>Other - Website</t>
  </si>
  <si>
    <t>Other - NM Educator Stipend</t>
  </si>
  <si>
    <t>Other - Annual QIS Workshop</t>
  </si>
  <si>
    <t>Other - Student Tuition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</si>
</sst>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0" fillId="3" borderId="1" xfId="0" applyFill="1" applyBorder="1"/>
    <xf numFmtId="1" fontId="0" fillId="3" borderId="1" xfId="0" applyNumberFormat="1" applyFill="1" applyBorder="1"/>
    <xf numFmtId="0" fontId="3" fillId="0" borderId="0" xfId="0" applyFont="1"/>
    <xf numFmtId="0" fontId="3" fillId="2" borderId="1" xfId="0" applyFont="1" applyFill="1" applyBorder="1"/>
    <xf numFmtId="1" fontId="3" fillId="2" borderId="1" xfId="0" applyNumberFormat="1" applyFont="1" applyFill="1" applyBorder="1"/>
    <xf numFmtId="0" fontId="3" fillId="4" borderId="1" xfId="0" applyFont="1" applyFill="1" applyBorder="1"/>
    <xf numFmtId="1" fontId="3" fillId="4" borderId="1" xfId="0" applyNumberFormat="1" applyFont="1" applyFill="1" applyBorder="1"/>
    <xf numFmtId="0" fontId="0" fillId="5" borderId="1" xfId="0" applyFill="1" applyBorder="1"/>
    <xf numFmtId="1" fontId="0" fillId="5" borderId="1" xfId="0" applyNumberFormat="1" applyFill="1" applyBorder="1"/>
    <xf numFmtId="1" fontId="4" fillId="2" borderId="1" xfId="0" applyNumberFormat="1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/>
    <xf numFmtId="1" fontId="0" fillId="2" borderId="1" xfId="0" applyNumberFormat="1" applyFill="1" applyBorder="1"/>
    <xf numFmtId="2" fontId="0" fillId="2" borderId="1" xfId="0" applyNumberFormat="1" applyFill="1" applyBorder="1"/>
    <xf numFmtId="0" fontId="3" fillId="6" borderId="1" xfId="0" applyFont="1" applyFill="1" applyBorder="1"/>
    <xf numFmtId="1" fontId="3" fillId="6" borderId="1" xfId="0" applyNumberFormat="1" applyFont="1" applyFill="1" applyBorder="1"/>
    <xf numFmtId="0" fontId="1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horizontal="center" vertical="center"/>
    </xf>
    <xf numFmtId="0" fontId="0" fillId="3" borderId="5" xfId="0" applyFill="1" applyBorder="1"/>
    <xf numFmtId="1" fontId="0" fillId="3" borderId="6" xfId="0" applyNumberFormat="1" applyFill="1" applyBorder="1"/>
    <xf numFmtId="0" fontId="0" fillId="5" borderId="5" xfId="0" applyFill="1" applyBorder="1"/>
    <xf numFmtId="1" fontId="0" fillId="5" borderId="6" xfId="0" applyNumberFormat="1" applyFill="1" applyBorder="1"/>
    <xf numFmtId="0" fontId="3" fillId="4" borderId="7" xfId="0" applyFont="1" applyFill="1" applyBorder="1"/>
    <xf numFmtId="1" fontId="3" fillId="4" borderId="8" xfId="0" applyNumberFormat="1" applyFont="1" applyFill="1" applyBorder="1"/>
    <xf numFmtId="1" fontId="3" fillId="4" borderId="9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BC226-7DF0-DE4B-A584-7AB384523D3D}">
  <dimension ref="A1:H31"/>
  <sheetViews>
    <sheetView tabSelected="1" workbookViewId="0">
      <selection activeCell="G31" sqref="A19:G31"/>
    </sheetView>
  </sheetViews>
  <sheetFormatPr baseColWidth="10" defaultRowHeight="16" x14ac:dyDescent="0.2"/>
  <cols>
    <col min="1" max="1" width="27.6640625" customWidth="1"/>
    <col min="8" max="8" width="65.5" customWidth="1"/>
  </cols>
  <sheetData>
    <row r="1" spans="1:8" x14ac:dyDescent="0.2">
      <c r="A1" s="1"/>
      <c r="B1" s="15" t="s">
        <v>0</v>
      </c>
      <c r="C1" s="15"/>
      <c r="D1" s="15"/>
      <c r="E1" s="15"/>
      <c r="F1" s="15"/>
      <c r="G1" s="15"/>
      <c r="H1" s="3"/>
    </row>
    <row r="2" spans="1:8" x14ac:dyDescent="0.2">
      <c r="A2" s="1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4" t="s">
        <v>7</v>
      </c>
    </row>
    <row r="3" spans="1:8" x14ac:dyDescent="0.2">
      <c r="A3" s="5" t="s">
        <v>8</v>
      </c>
      <c r="B3" s="6"/>
      <c r="C3" s="6"/>
      <c r="D3" s="6"/>
      <c r="E3" s="6"/>
      <c r="F3" s="6"/>
      <c r="G3" s="6"/>
      <c r="H3" s="5"/>
    </row>
    <row r="4" spans="1:8" x14ac:dyDescent="0.2">
      <c r="A4" s="5" t="s">
        <v>13</v>
      </c>
      <c r="B4" s="6"/>
      <c r="C4" s="6">
        <v>78708</v>
      </c>
      <c r="D4" s="6">
        <f>C4*1.02</f>
        <v>80282.16</v>
      </c>
      <c r="E4" s="6">
        <f>D4*1.02</f>
        <v>81887.803200000009</v>
      </c>
      <c r="F4" s="6">
        <f>E4*1.02</f>
        <v>83525.55926400001</v>
      </c>
      <c r="G4" s="6">
        <f t="shared" ref="G4:G12" si="0">SUM(B4:F4)</f>
        <v>324403.52246400004</v>
      </c>
      <c r="H4" s="5" t="s">
        <v>14</v>
      </c>
    </row>
    <row r="5" spans="1:8" x14ac:dyDescent="0.2">
      <c r="A5" s="5" t="s">
        <v>9</v>
      </c>
      <c r="B5" s="6"/>
      <c r="C5" s="6">
        <f>C4*0.34</f>
        <v>26760.720000000001</v>
      </c>
      <c r="D5" s="6">
        <f>D4*0.34</f>
        <v>27295.934400000002</v>
      </c>
      <c r="E5" s="6">
        <f>E4*0.34</f>
        <v>27841.853088000003</v>
      </c>
      <c r="F5" s="6">
        <f>F4*0.34</f>
        <v>28398.690149760005</v>
      </c>
      <c r="G5" s="6">
        <f t="shared" si="0"/>
        <v>110297.19763776001</v>
      </c>
      <c r="H5" s="5" t="s">
        <v>14</v>
      </c>
    </row>
    <row r="6" spans="1:8" x14ac:dyDescent="0.2">
      <c r="A6" s="5" t="s">
        <v>10</v>
      </c>
      <c r="B6" s="6" t="s">
        <v>15</v>
      </c>
      <c r="C6" s="6">
        <v>35000</v>
      </c>
      <c r="D6" s="6">
        <v>35000</v>
      </c>
      <c r="E6" s="6">
        <v>35000</v>
      </c>
      <c r="F6" s="6">
        <v>35000</v>
      </c>
      <c r="G6" s="6">
        <f t="shared" si="0"/>
        <v>140000</v>
      </c>
      <c r="H6" s="5" t="s">
        <v>16</v>
      </c>
    </row>
    <row r="7" spans="1:8" x14ac:dyDescent="0.2">
      <c r="A7" s="5" t="s">
        <v>11</v>
      </c>
      <c r="B7" s="6">
        <v>21644</v>
      </c>
      <c r="C7" s="6">
        <v>200000</v>
      </c>
      <c r="D7" s="6">
        <v>35000</v>
      </c>
      <c r="E7" s="6">
        <v>20000</v>
      </c>
      <c r="F7" s="6">
        <f>25000-3137-5000</f>
        <v>16863</v>
      </c>
      <c r="G7" s="6">
        <f t="shared" si="0"/>
        <v>293507</v>
      </c>
      <c r="H7" s="5" t="s">
        <v>23</v>
      </c>
    </row>
    <row r="8" spans="1:8" x14ac:dyDescent="0.2">
      <c r="A8" s="5" t="s">
        <v>12</v>
      </c>
      <c r="B8" s="6">
        <v>4731</v>
      </c>
      <c r="C8" s="6">
        <v>130000</v>
      </c>
      <c r="D8" s="6">
        <v>60000</v>
      </c>
      <c r="E8" s="6">
        <v>30000</v>
      </c>
      <c r="F8" s="6">
        <v>30000</v>
      </c>
      <c r="G8" s="6">
        <f t="shared" si="0"/>
        <v>254731</v>
      </c>
      <c r="H8" s="5" t="s">
        <v>20</v>
      </c>
    </row>
    <row r="9" spans="1:8" x14ac:dyDescent="0.2">
      <c r="A9" s="12" t="s">
        <v>24</v>
      </c>
      <c r="B9" s="13"/>
      <c r="C9" s="13">
        <v>40000</v>
      </c>
      <c r="D9" s="13">
        <v>20000</v>
      </c>
      <c r="E9" s="13">
        <v>10000</v>
      </c>
      <c r="F9" s="13">
        <v>10000</v>
      </c>
      <c r="G9" s="13">
        <f t="shared" si="0"/>
        <v>80000</v>
      </c>
      <c r="H9" s="12" t="s">
        <v>18</v>
      </c>
    </row>
    <row r="10" spans="1:8" x14ac:dyDescent="0.2">
      <c r="A10" s="12" t="s">
        <v>25</v>
      </c>
      <c r="B10" s="13"/>
      <c r="C10" s="13">
        <v>25000</v>
      </c>
      <c r="D10" s="13">
        <v>50000</v>
      </c>
      <c r="E10" s="13">
        <v>25000</v>
      </c>
      <c r="F10" s="13"/>
      <c r="G10" s="13">
        <f t="shared" si="0"/>
        <v>100000</v>
      </c>
      <c r="H10" s="12" t="s">
        <v>21</v>
      </c>
    </row>
    <row r="11" spans="1:8" x14ac:dyDescent="0.2">
      <c r="A11" s="12" t="s">
        <v>24</v>
      </c>
      <c r="B11" s="13"/>
      <c r="C11" s="13">
        <v>60000</v>
      </c>
      <c r="D11" s="13">
        <v>60000</v>
      </c>
      <c r="E11" s="13">
        <v>60000</v>
      </c>
      <c r="F11" s="13">
        <v>60000</v>
      </c>
      <c r="G11" s="13">
        <f t="shared" si="0"/>
        <v>240000</v>
      </c>
      <c r="H11" s="12" t="s">
        <v>19</v>
      </c>
    </row>
    <row r="12" spans="1:8" x14ac:dyDescent="0.2">
      <c r="A12" s="12" t="s">
        <v>25</v>
      </c>
      <c r="B12" s="13"/>
      <c r="C12" s="13">
        <v>0</v>
      </c>
      <c r="D12" s="13">
        <f>14999*2</f>
        <v>29998</v>
      </c>
      <c r="E12" s="13">
        <f>14999*8</f>
        <v>119992</v>
      </c>
      <c r="F12" s="13">
        <f>14999*8</f>
        <v>119992</v>
      </c>
      <c r="G12" s="13">
        <f t="shared" si="0"/>
        <v>269982</v>
      </c>
      <c r="H12" s="12" t="s">
        <v>22</v>
      </c>
    </row>
    <row r="13" spans="1:8" x14ac:dyDescent="0.2">
      <c r="A13" s="10" t="s">
        <v>26</v>
      </c>
      <c r="B13" s="11">
        <f t="shared" ref="B13:G13" si="1">SUM(B4:B12)</f>
        <v>26375</v>
      </c>
      <c r="C13" s="11">
        <f t="shared" si="1"/>
        <v>595468.72</v>
      </c>
      <c r="D13" s="11">
        <f t="shared" si="1"/>
        <v>397576.0944</v>
      </c>
      <c r="E13" s="11">
        <f t="shared" si="1"/>
        <v>409721.656288</v>
      </c>
      <c r="F13" s="11">
        <f t="shared" si="1"/>
        <v>383779.24941376003</v>
      </c>
      <c r="G13" s="11">
        <f t="shared" si="1"/>
        <v>1812920.72010176</v>
      </c>
      <c r="H13" s="10"/>
    </row>
    <row r="14" spans="1:8" x14ac:dyDescent="0.2">
      <c r="A14" s="19"/>
      <c r="B14" s="20"/>
      <c r="C14" s="20"/>
      <c r="D14" s="20"/>
      <c r="E14" s="20"/>
      <c r="F14" s="20"/>
      <c r="G14" s="20"/>
      <c r="H14" s="19"/>
    </row>
    <row r="15" spans="1:8" x14ac:dyDescent="0.2">
      <c r="A15" s="16" t="s">
        <v>17</v>
      </c>
      <c r="B15" s="17"/>
      <c r="C15" s="18">
        <v>46769</v>
      </c>
      <c r="D15" s="18">
        <v>46770</v>
      </c>
      <c r="E15" s="18">
        <v>46770</v>
      </c>
      <c r="F15" s="18">
        <v>46770</v>
      </c>
      <c r="G15" s="17">
        <f>SUM(C15:F15)</f>
        <v>187079</v>
      </c>
      <c r="H15" s="16"/>
    </row>
    <row r="16" spans="1:8" s="7" customFormat="1" x14ac:dyDescent="0.2">
      <c r="A16" s="8" t="s">
        <v>27</v>
      </c>
      <c r="B16" s="14">
        <f t="shared" ref="B16:G16" si="2">SUM(B13:B15)</f>
        <v>26375</v>
      </c>
      <c r="C16" s="14">
        <f t="shared" si="2"/>
        <v>642237.72</v>
      </c>
      <c r="D16" s="14">
        <f t="shared" si="2"/>
        <v>444346.0944</v>
      </c>
      <c r="E16" s="14">
        <f t="shared" si="2"/>
        <v>456491.656288</v>
      </c>
      <c r="F16" s="14">
        <f t="shared" si="2"/>
        <v>430549.24941376003</v>
      </c>
      <c r="G16" s="9">
        <f t="shared" si="2"/>
        <v>1999999.72010176</v>
      </c>
      <c r="H16" s="8"/>
    </row>
    <row r="18" spans="1:7" ht="17" thickBot="1" x14ac:dyDescent="0.25"/>
    <row r="19" spans="1:7" x14ac:dyDescent="0.2">
      <c r="A19" s="21"/>
      <c r="B19" s="22" t="s">
        <v>0</v>
      </c>
      <c r="C19" s="22"/>
      <c r="D19" s="22"/>
      <c r="E19" s="22"/>
      <c r="F19" s="22"/>
      <c r="G19" s="23"/>
    </row>
    <row r="20" spans="1:7" x14ac:dyDescent="0.2">
      <c r="A20" s="24"/>
      <c r="B20" s="2" t="s">
        <v>1</v>
      </c>
      <c r="C20" s="2" t="s">
        <v>2</v>
      </c>
      <c r="D20" s="2" t="s">
        <v>3</v>
      </c>
      <c r="E20" s="2" t="s">
        <v>4</v>
      </c>
      <c r="F20" s="2" t="s">
        <v>5</v>
      </c>
      <c r="G20" s="25" t="s">
        <v>6</v>
      </c>
    </row>
    <row r="21" spans="1:7" x14ac:dyDescent="0.2">
      <c r="A21" s="26" t="s">
        <v>8</v>
      </c>
      <c r="B21" s="6"/>
      <c r="C21" s="6"/>
      <c r="D21" s="6"/>
      <c r="E21" s="6"/>
      <c r="F21" s="6"/>
      <c r="G21" s="27"/>
    </row>
    <row r="22" spans="1:7" x14ac:dyDescent="0.2">
      <c r="A22" s="26" t="s">
        <v>13</v>
      </c>
      <c r="B22" s="6"/>
      <c r="C22" s="6">
        <v>78708</v>
      </c>
      <c r="D22" s="6">
        <f>C22*1.02</f>
        <v>80282.16</v>
      </c>
      <c r="E22" s="6">
        <f>D22*1.02</f>
        <v>81887.803200000009</v>
      </c>
      <c r="F22" s="6">
        <f>E22*1.02</f>
        <v>83525.55926400001</v>
      </c>
      <c r="G22" s="27">
        <f t="shared" ref="G22:G30" si="3">SUM(B22:F22)</f>
        <v>324403.52246400004</v>
      </c>
    </row>
    <row r="23" spans="1:7" x14ac:dyDescent="0.2">
      <c r="A23" s="26" t="s">
        <v>9</v>
      </c>
      <c r="B23" s="6"/>
      <c r="C23" s="6">
        <f>C22*0.34</f>
        <v>26760.720000000001</v>
      </c>
      <c r="D23" s="6">
        <f>D22*0.34</f>
        <v>27295.934400000002</v>
      </c>
      <c r="E23" s="6">
        <f>E22*0.34</f>
        <v>27841.853088000003</v>
      </c>
      <c r="F23" s="6">
        <f>F22*0.34</f>
        <v>28398.690149760005</v>
      </c>
      <c r="G23" s="27">
        <f t="shared" si="3"/>
        <v>110297.19763776001</v>
      </c>
    </row>
    <row r="24" spans="1:7" x14ac:dyDescent="0.2">
      <c r="A24" s="26" t="s">
        <v>10</v>
      </c>
      <c r="B24" s="6" t="s">
        <v>15</v>
      </c>
      <c r="C24" s="6">
        <v>35000</v>
      </c>
      <c r="D24" s="6">
        <v>35000</v>
      </c>
      <c r="E24" s="6">
        <v>35000</v>
      </c>
      <c r="F24" s="6">
        <v>35000</v>
      </c>
      <c r="G24" s="27">
        <f t="shared" si="3"/>
        <v>140000</v>
      </c>
    </row>
    <row r="25" spans="1:7" x14ac:dyDescent="0.2">
      <c r="A25" s="26" t="s">
        <v>11</v>
      </c>
      <c r="B25" s="6">
        <v>21644</v>
      </c>
      <c r="C25" s="6">
        <v>200000</v>
      </c>
      <c r="D25" s="6">
        <v>35000</v>
      </c>
      <c r="E25" s="6">
        <v>20000</v>
      </c>
      <c r="F25" s="6">
        <f>25000-3137-5000</f>
        <v>16863</v>
      </c>
      <c r="G25" s="27">
        <f t="shared" si="3"/>
        <v>293507</v>
      </c>
    </row>
    <row r="26" spans="1:7" x14ac:dyDescent="0.2">
      <c r="A26" s="26" t="s">
        <v>12</v>
      </c>
      <c r="B26" s="6">
        <v>4731</v>
      </c>
      <c r="C26" s="6">
        <v>130000</v>
      </c>
      <c r="D26" s="6">
        <v>60000</v>
      </c>
      <c r="E26" s="6">
        <v>30000</v>
      </c>
      <c r="F26" s="6">
        <v>30000</v>
      </c>
      <c r="G26" s="27">
        <f t="shared" si="3"/>
        <v>254731</v>
      </c>
    </row>
    <row r="27" spans="1:7" x14ac:dyDescent="0.2">
      <c r="A27" s="28" t="s">
        <v>28</v>
      </c>
      <c r="B27" s="13"/>
      <c r="C27" s="13">
        <v>40000</v>
      </c>
      <c r="D27" s="13">
        <v>20000</v>
      </c>
      <c r="E27" s="13">
        <v>10000</v>
      </c>
      <c r="F27" s="13">
        <v>10000</v>
      </c>
      <c r="G27" s="29">
        <f t="shared" si="3"/>
        <v>80000</v>
      </c>
    </row>
    <row r="28" spans="1:7" x14ac:dyDescent="0.2">
      <c r="A28" s="28" t="s">
        <v>29</v>
      </c>
      <c r="B28" s="13"/>
      <c r="C28" s="13">
        <v>25000</v>
      </c>
      <c r="D28" s="13">
        <v>50000</v>
      </c>
      <c r="E28" s="13">
        <v>25000</v>
      </c>
      <c r="F28" s="13"/>
      <c r="G28" s="29">
        <f t="shared" si="3"/>
        <v>100000</v>
      </c>
    </row>
    <row r="29" spans="1:7" x14ac:dyDescent="0.2">
      <c r="A29" s="28" t="s">
        <v>30</v>
      </c>
      <c r="B29" s="13"/>
      <c r="C29" s="13">
        <v>60000</v>
      </c>
      <c r="D29" s="13">
        <v>60000</v>
      </c>
      <c r="E29" s="13">
        <v>60000</v>
      </c>
      <c r="F29" s="13">
        <v>60000</v>
      </c>
      <c r="G29" s="29">
        <f t="shared" si="3"/>
        <v>240000</v>
      </c>
    </row>
    <row r="30" spans="1:7" x14ac:dyDescent="0.2">
      <c r="A30" s="28" t="s">
        <v>31</v>
      </c>
      <c r="B30" s="13"/>
      <c r="C30" s="13">
        <v>0</v>
      </c>
      <c r="D30" s="13">
        <f>14999*2</f>
        <v>29998</v>
      </c>
      <c r="E30" s="13">
        <f>14999*8</f>
        <v>119992</v>
      </c>
      <c r="F30" s="13">
        <f>14999*8</f>
        <v>119992</v>
      </c>
      <c r="G30" s="29">
        <f t="shared" si="3"/>
        <v>269982</v>
      </c>
    </row>
    <row r="31" spans="1:7" ht="17" thickBot="1" x14ac:dyDescent="0.25">
      <c r="A31" s="30" t="s">
        <v>26</v>
      </c>
      <c r="B31" s="31">
        <f t="shared" ref="B31" si="4">SUM(B22:B30)</f>
        <v>26375</v>
      </c>
      <c r="C31" s="31">
        <f t="shared" ref="C31" si="5">SUM(C22:C30)</f>
        <v>595468.72</v>
      </c>
      <c r="D31" s="31">
        <f t="shared" ref="D31" si="6">SUM(D22:D30)</f>
        <v>397576.0944</v>
      </c>
      <c r="E31" s="31">
        <f t="shared" ref="E31" si="7">SUM(E22:E30)</f>
        <v>409721.656288</v>
      </c>
      <c r="F31" s="31">
        <f t="shared" ref="F31" si="8">SUM(F22:F30)</f>
        <v>383779.24941376003</v>
      </c>
      <c r="G31" s="32">
        <f t="shared" ref="G31" si="9">SUM(G22:G30)</f>
        <v>1812920.72010176</v>
      </c>
    </row>
  </sheetData>
  <mergeCells count="2">
    <mergeCell ref="B1:G1"/>
    <mergeCell ref="B19:G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RASHAP, BRIAN</dc:creator>
  <cp:lastModifiedBy>RASHAP, BRIAN</cp:lastModifiedBy>
  <dcterms:created xsi:type="dcterms:W3CDTF">2025-11-11T14:20:54Z</dcterms:created>
  <dcterms:modified xsi:type="dcterms:W3CDTF">2025-11-19T13:11:40Z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8bb7484-22c2-4b98-9fb8-3ab13d821527_Enabled">
    <vt:lpwstr>true</vt:lpwstr>
  </property>
  <property fmtid="{D5CDD505-2E9C-101B-9397-08002B2CF9AE}" pid="3" name="MSIP_Label_d8bb7484-22c2-4b98-9fb8-3ab13d821527_SetDate">
    <vt:lpwstr>2025-11-11T15:15:27Z</vt:lpwstr>
  </property>
  <property fmtid="{D5CDD505-2E9C-101B-9397-08002B2CF9AE}" pid="4" name="MSIP_Label_d8bb7484-22c2-4b98-9fb8-3ab13d821527_Method">
    <vt:lpwstr>Standard</vt:lpwstr>
  </property>
  <property fmtid="{D5CDD505-2E9C-101B-9397-08002B2CF9AE}" pid="5" name="MSIP_Label_d8bb7484-22c2-4b98-9fb8-3ab13d821527_Name">
    <vt:lpwstr>defa4170-0d19-0005-0004-bc88714345d2</vt:lpwstr>
  </property>
  <property fmtid="{D5CDD505-2E9C-101B-9397-08002B2CF9AE}" pid="6" name="MSIP_Label_d8bb7484-22c2-4b98-9fb8-3ab13d821527_SiteId">
    <vt:lpwstr>f50e076b-86a5-45f3-87b0-3f4d0ec5e94e</vt:lpwstr>
  </property>
  <property fmtid="{D5CDD505-2E9C-101B-9397-08002B2CF9AE}" pid="7" name="MSIP_Label_d8bb7484-22c2-4b98-9fb8-3ab13d821527_ActionId">
    <vt:lpwstr>958428b1-be81-4b21-aa07-7d9dd461f4cc</vt:lpwstr>
  </property>
  <property fmtid="{D5CDD505-2E9C-101B-9397-08002B2CF9AE}" pid="8" name="MSIP_Label_d8bb7484-22c2-4b98-9fb8-3ab13d821527_ContentBits">
    <vt:lpwstr>0</vt:lpwstr>
  </property>
  <property fmtid="{D5CDD505-2E9C-101B-9397-08002B2CF9AE}" pid="9" name="MSIP_Label_d8bb7484-22c2-4b98-9fb8-3ab13d821527_Tag">
    <vt:lpwstr>50, 3, 0, 1</vt:lpwstr>
  </property>
</Properties>
</file>