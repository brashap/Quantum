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p/Documents/Quantum/Quantum/TEF/"/>
    </mc:Choice>
  </mc:AlternateContent>
  <xr:revisionPtr revIDLastSave="0" documentId="8_{A8490EE0-1206-4448-8526-C05153C1414C}" xr6:coauthVersionLast="47" xr6:coauthVersionMax="47" xr10:uidLastSave="{00000000-0000-0000-0000-000000000000}"/>
  <bookViews>
    <workbookView xWindow="1340" yWindow="2160" windowWidth="29000" windowHeight="16680" xr2:uid="{EB2CBE15-7BB4-DD40-815F-8021B0A65F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G7" i="1" s="1"/>
  <c r="E12" i="1"/>
  <c r="F12" i="1"/>
  <c r="D12" i="1"/>
  <c r="G11" i="1"/>
  <c r="G10" i="1"/>
  <c r="G9" i="1"/>
  <c r="G8" i="1"/>
  <c r="B13" i="1"/>
  <c r="G12" i="1" l="1"/>
  <c r="G14" i="1" l="1"/>
  <c r="G6" i="1"/>
  <c r="D4" i="1"/>
  <c r="C5" i="1"/>
  <c r="C13" i="1" s="1"/>
  <c r="E4" i="1" l="1"/>
  <c r="D5" i="1"/>
  <c r="D13" i="1" s="1"/>
  <c r="F4" i="1" l="1"/>
  <c r="E5" i="1"/>
  <c r="G4" i="1"/>
  <c r="F5" i="1" l="1"/>
  <c r="G5" i="1" s="1"/>
  <c r="G13" i="1" s="1"/>
  <c r="G15" i="1" s="1"/>
  <c r="F13" i="1"/>
  <c r="E13" i="1"/>
</calcChain>
</file>

<file path=xl/sharedStrings.xml><?xml version="1.0" encoding="utf-8"?>
<sst xmlns="http://schemas.openxmlformats.org/spreadsheetml/2006/main" count="30" uniqueCount="25">
  <si>
    <t>TEF Funds UNM Subaward to CNM Ingenuity Budget Breakdown</t>
  </si>
  <si>
    <t>Year 1</t>
  </si>
  <si>
    <t>Year 2</t>
  </si>
  <si>
    <t>Year 3</t>
  </si>
  <si>
    <t>Year 4</t>
  </si>
  <si>
    <t>Year 5</t>
  </si>
  <si>
    <t>TOTAL</t>
  </si>
  <si>
    <t>NOTES</t>
  </si>
  <si>
    <t>Line Item Budget</t>
  </si>
  <si>
    <t>Fringe Benefits</t>
  </si>
  <si>
    <t>Travel</t>
  </si>
  <si>
    <t>Equipment</t>
  </si>
  <si>
    <t>Supplies</t>
  </si>
  <si>
    <t>Other</t>
  </si>
  <si>
    <t>Personnal</t>
  </si>
  <si>
    <t>Quantum Program Manager (Deanna Sandavol)</t>
  </si>
  <si>
    <t xml:space="preserve"> </t>
  </si>
  <si>
    <t>Travel NM Educactors to attend annual workshop ($30k) + Instructor Travel</t>
  </si>
  <si>
    <t>CNM Subtotal</t>
  </si>
  <si>
    <t>UNM Portion</t>
  </si>
  <si>
    <t>Elevate Quantum Workforce Website</t>
  </si>
  <si>
    <t>Student Workshop</t>
  </si>
  <si>
    <t>Annual Eduactors Workshop - held at CNM</t>
  </si>
  <si>
    <t>Significant amount of equipment does not meet $5k fixed asset threshold</t>
  </si>
  <si>
    <t>NM Educator Stipend (Quantum Shared Learning Group) for 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</si>
</sst>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" fontId="0" fillId="3" borderId="1" xfId="0" applyNumberFormat="1" applyFill="1" applyBorder="1"/>
    <xf numFmtId="0" fontId="3" fillId="0" borderId="0" xfId="0" applyFont="1"/>
    <xf numFmtId="0" fontId="3" fillId="2" borderId="1" xfId="0" applyFont="1" applyFill="1" applyBorder="1"/>
    <xf numFmtId="1" fontId="3" fillId="2" borderId="1" xfId="0" applyNumberFormat="1" applyFont="1" applyFill="1" applyBorder="1"/>
    <xf numFmtId="0" fontId="0" fillId="4" borderId="1" xfId="0" applyFill="1" applyBorder="1"/>
    <xf numFmtId="1" fontId="0" fillId="4" borderId="1" xfId="0" applyNumberFormat="1" applyFill="1" applyBorder="1"/>
    <xf numFmtId="2" fontId="0" fillId="4" borderId="1" xfId="0" applyNumberFormat="1" applyFill="1" applyBorder="1"/>
    <xf numFmtId="0" fontId="3" fillId="4" borderId="1" xfId="0" applyFont="1" applyFill="1" applyBorder="1"/>
    <xf numFmtId="1" fontId="3" fillId="4" borderId="1" xfId="0" applyNumberFormat="1" applyFont="1" applyFill="1" applyBorder="1"/>
    <xf numFmtId="0" fontId="0" fillId="5" borderId="1" xfId="0" applyFill="1" applyBorder="1"/>
    <xf numFmtId="1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C226-7DF0-DE4B-A584-7AB384523D3D}">
  <dimension ref="A1:H15"/>
  <sheetViews>
    <sheetView tabSelected="1" workbookViewId="0">
      <selection activeCell="E18" sqref="E18"/>
    </sheetView>
  </sheetViews>
  <sheetFormatPr baseColWidth="10" defaultRowHeight="16" x14ac:dyDescent="0.2"/>
  <cols>
    <col min="1" max="1" width="16.83203125" bestFit="1" customWidth="1"/>
    <col min="8" max="8" width="65.5" customWidth="1"/>
  </cols>
  <sheetData>
    <row r="1" spans="1:8" x14ac:dyDescent="0.2">
      <c r="A1" s="1"/>
      <c r="B1" s="2" t="s">
        <v>0</v>
      </c>
      <c r="C1" s="2"/>
      <c r="D1" s="2"/>
      <c r="E1" s="2"/>
      <c r="F1" s="2"/>
      <c r="G1" s="2"/>
      <c r="H1" s="3"/>
    </row>
    <row r="2" spans="1:8" x14ac:dyDescent="0.2">
      <c r="A2" s="1"/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</row>
    <row r="3" spans="1:8" x14ac:dyDescent="0.2">
      <c r="A3" s="6" t="s">
        <v>8</v>
      </c>
      <c r="B3" s="7"/>
      <c r="C3" s="7"/>
      <c r="D3" s="7"/>
      <c r="E3" s="7"/>
      <c r="F3" s="7"/>
      <c r="G3" s="7"/>
      <c r="H3" s="6"/>
    </row>
    <row r="4" spans="1:8" x14ac:dyDescent="0.2">
      <c r="A4" s="6" t="s">
        <v>14</v>
      </c>
      <c r="B4" s="7"/>
      <c r="C4" s="7">
        <v>78708</v>
      </c>
      <c r="D4" s="7">
        <f>C4*1.02</f>
        <v>80282.16</v>
      </c>
      <c r="E4" s="7">
        <f>D4*1.02</f>
        <v>81887.803200000009</v>
      </c>
      <c r="F4" s="7">
        <f>E4*1.02</f>
        <v>83525.55926400001</v>
      </c>
      <c r="G4" s="7">
        <f>SUM(B4:F4)</f>
        <v>324403.52246400004</v>
      </c>
      <c r="H4" s="6" t="s">
        <v>15</v>
      </c>
    </row>
    <row r="5" spans="1:8" x14ac:dyDescent="0.2">
      <c r="A5" s="6" t="s">
        <v>9</v>
      </c>
      <c r="B5" s="7"/>
      <c r="C5" s="7">
        <f>C4*0.34</f>
        <v>26760.720000000001</v>
      </c>
      <c r="D5" s="7">
        <f>D4*0.34</f>
        <v>27295.934400000002</v>
      </c>
      <c r="E5" s="7">
        <f>E4*0.34</f>
        <v>27841.853088000003</v>
      </c>
      <c r="F5" s="7">
        <f>F4*0.34</f>
        <v>28398.690149760005</v>
      </c>
      <c r="G5" s="7">
        <f>SUM(B5:F5)</f>
        <v>110297.19763776001</v>
      </c>
      <c r="H5" s="6" t="s">
        <v>15</v>
      </c>
    </row>
    <row r="6" spans="1:8" x14ac:dyDescent="0.2">
      <c r="A6" s="6" t="s">
        <v>10</v>
      </c>
      <c r="B6" s="7" t="s">
        <v>16</v>
      </c>
      <c r="C6" s="7">
        <v>35000</v>
      </c>
      <c r="D6" s="7">
        <v>35000</v>
      </c>
      <c r="E6" s="7">
        <v>35000</v>
      </c>
      <c r="F6" s="7">
        <v>35000</v>
      </c>
      <c r="G6" s="7">
        <f>SUM(B6:F6)</f>
        <v>140000</v>
      </c>
      <c r="H6" s="6" t="s">
        <v>17</v>
      </c>
    </row>
    <row r="7" spans="1:8" x14ac:dyDescent="0.2">
      <c r="A7" s="6" t="s">
        <v>11</v>
      </c>
      <c r="B7" s="7">
        <v>21644</v>
      </c>
      <c r="C7" s="7">
        <v>200000</v>
      </c>
      <c r="D7" s="7">
        <v>25000</v>
      </c>
      <c r="E7" s="7">
        <v>25000</v>
      </c>
      <c r="F7" s="7">
        <f>25000-3137</f>
        <v>21863</v>
      </c>
      <c r="G7" s="7">
        <f>SUM(B7:F7)</f>
        <v>293507</v>
      </c>
      <c r="H7" s="6"/>
    </row>
    <row r="8" spans="1:8" x14ac:dyDescent="0.2">
      <c r="A8" s="6" t="s">
        <v>12</v>
      </c>
      <c r="B8" s="7">
        <v>4731</v>
      </c>
      <c r="C8" s="7">
        <v>130000</v>
      </c>
      <c r="D8" s="7">
        <v>60000</v>
      </c>
      <c r="E8" s="7">
        <v>30000</v>
      </c>
      <c r="F8" s="7">
        <v>30000</v>
      </c>
      <c r="G8" s="7">
        <f>SUM(B8:F8)</f>
        <v>254731</v>
      </c>
      <c r="H8" s="6" t="s">
        <v>23</v>
      </c>
    </row>
    <row r="9" spans="1:8" x14ac:dyDescent="0.2">
      <c r="A9" s="16" t="s">
        <v>13</v>
      </c>
      <c r="B9" s="17"/>
      <c r="C9" s="17">
        <v>40000</v>
      </c>
      <c r="D9" s="17">
        <v>20000</v>
      </c>
      <c r="E9" s="17">
        <v>10000</v>
      </c>
      <c r="F9" s="17">
        <v>10000</v>
      </c>
      <c r="G9" s="17">
        <f>SUM(B9:F9)</f>
        <v>80000</v>
      </c>
      <c r="H9" s="16" t="s">
        <v>20</v>
      </c>
    </row>
    <row r="10" spans="1:8" x14ac:dyDescent="0.2">
      <c r="A10" s="16" t="s">
        <v>13</v>
      </c>
      <c r="B10" s="17"/>
      <c r="C10" s="17">
        <v>25000</v>
      </c>
      <c r="D10" s="17">
        <v>50000</v>
      </c>
      <c r="E10" s="17">
        <v>25000</v>
      </c>
      <c r="F10" s="17"/>
      <c r="G10" s="17">
        <f>SUM(B10:F10)</f>
        <v>100000</v>
      </c>
      <c r="H10" s="16" t="s">
        <v>24</v>
      </c>
    </row>
    <row r="11" spans="1:8" x14ac:dyDescent="0.2">
      <c r="A11" s="16" t="s">
        <v>13</v>
      </c>
      <c r="B11" s="17"/>
      <c r="C11" s="17">
        <v>60000</v>
      </c>
      <c r="D11" s="17">
        <v>60000</v>
      </c>
      <c r="E11" s="17">
        <v>60000</v>
      </c>
      <c r="F11" s="17">
        <v>60000</v>
      </c>
      <c r="G11" s="17">
        <f>SUM(B11:F11)</f>
        <v>240000</v>
      </c>
      <c r="H11" s="16" t="s">
        <v>22</v>
      </c>
    </row>
    <row r="12" spans="1:8" x14ac:dyDescent="0.2">
      <c r="A12" s="16" t="s">
        <v>13</v>
      </c>
      <c r="B12" s="17"/>
      <c r="C12" s="17">
        <v>0</v>
      </c>
      <c r="D12" s="17">
        <f>14999*2</f>
        <v>29998</v>
      </c>
      <c r="E12" s="17">
        <f>14999*8</f>
        <v>119992</v>
      </c>
      <c r="F12" s="17">
        <f>14999*8</f>
        <v>119992</v>
      </c>
      <c r="G12" s="17">
        <f>SUM(B12:F12)</f>
        <v>269982</v>
      </c>
      <c r="H12" s="16" t="s">
        <v>21</v>
      </c>
    </row>
    <row r="13" spans="1:8" x14ac:dyDescent="0.2">
      <c r="A13" s="14" t="s">
        <v>18</v>
      </c>
      <c r="B13" s="15">
        <f>SUM(B4:B12)</f>
        <v>26375</v>
      </c>
      <c r="C13" s="15">
        <f>SUM(C4:C12)</f>
        <v>595468.72</v>
      </c>
      <c r="D13" s="15">
        <f>SUM(D4:D12)</f>
        <v>387576.0944</v>
      </c>
      <c r="E13" s="15">
        <f>SUM(E4:E12)</f>
        <v>414721.656288</v>
      </c>
      <c r="F13" s="15">
        <f>SUM(F4:F12)</f>
        <v>388779.24941376003</v>
      </c>
      <c r="G13" s="15">
        <f>SUM(G4:G12)</f>
        <v>1812920.72010176</v>
      </c>
      <c r="H13" s="14"/>
    </row>
    <row r="14" spans="1:8" x14ac:dyDescent="0.2">
      <c r="A14" s="11" t="s">
        <v>19</v>
      </c>
      <c r="B14" s="12"/>
      <c r="C14" s="13">
        <v>46769</v>
      </c>
      <c r="D14" s="13">
        <v>46770</v>
      </c>
      <c r="E14" s="13">
        <v>46770</v>
      </c>
      <c r="F14" s="13">
        <v>46770</v>
      </c>
      <c r="G14" s="12">
        <f>SUM(C14:F14)</f>
        <v>187079</v>
      </c>
      <c r="H14" s="11"/>
    </row>
    <row r="15" spans="1:8" s="8" customFormat="1" x14ac:dyDescent="0.2">
      <c r="A15" s="9" t="s">
        <v>6</v>
      </c>
      <c r="B15" s="10"/>
      <c r="C15" s="10"/>
      <c r="D15" s="10"/>
      <c r="E15" s="10"/>
      <c r="F15" s="10"/>
      <c r="G15" s="10">
        <f>SUM(G13:G14)</f>
        <v>1999999.72010176</v>
      </c>
      <c r="H15" s="9"/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RASHAP, BRIAN</dc:creator>
  <cp:lastModifiedBy>RASHAP, BRIAN</cp:lastModifiedBy>
  <dcterms:created xsi:type="dcterms:W3CDTF">2025-11-11T14:20:54Z</dcterms:created>
  <dcterms:modified xsi:type="dcterms:W3CDTF">2025-11-11T15:16:23Z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b7484-22c2-4b98-9fb8-3ab13d821527_Enabled">
    <vt:lpwstr>true</vt:lpwstr>
  </property>
  <property fmtid="{D5CDD505-2E9C-101B-9397-08002B2CF9AE}" pid="3" name="MSIP_Label_d8bb7484-22c2-4b98-9fb8-3ab13d821527_SetDate">
    <vt:lpwstr>2025-11-11T15:15:27Z</vt:lpwstr>
  </property>
  <property fmtid="{D5CDD505-2E9C-101B-9397-08002B2CF9AE}" pid="4" name="MSIP_Label_d8bb7484-22c2-4b98-9fb8-3ab13d821527_Method">
    <vt:lpwstr>Standard</vt:lpwstr>
  </property>
  <property fmtid="{D5CDD505-2E9C-101B-9397-08002B2CF9AE}" pid="5" name="MSIP_Label_d8bb7484-22c2-4b98-9fb8-3ab13d821527_Name">
    <vt:lpwstr>defa4170-0d19-0005-0004-bc88714345d2</vt:lpwstr>
  </property>
  <property fmtid="{D5CDD505-2E9C-101B-9397-08002B2CF9AE}" pid="6" name="MSIP_Label_d8bb7484-22c2-4b98-9fb8-3ab13d821527_SiteId">
    <vt:lpwstr>f50e076b-86a5-45f3-87b0-3f4d0ec5e94e</vt:lpwstr>
  </property>
  <property fmtid="{D5CDD505-2E9C-101B-9397-08002B2CF9AE}" pid="7" name="MSIP_Label_d8bb7484-22c2-4b98-9fb8-3ab13d821527_ActionId">
    <vt:lpwstr>958428b1-be81-4b21-aa07-7d9dd461f4cc</vt:lpwstr>
  </property>
  <property fmtid="{D5CDD505-2E9C-101B-9397-08002B2CF9AE}" pid="8" name="MSIP_Label_d8bb7484-22c2-4b98-9fb8-3ab13d821527_ContentBits">
    <vt:lpwstr>0</vt:lpwstr>
  </property>
  <property fmtid="{D5CDD505-2E9C-101B-9397-08002B2CF9AE}" pid="9" name="MSIP_Label_d8bb7484-22c2-4b98-9fb8-3ab13d821527_Tag">
    <vt:lpwstr>50, 3, 0, 1</vt:lpwstr>
  </property>
</Properties>
</file>